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O Back up 2023\BACK UP 2019 -2023\Desktop\DESTOP\SOFTWARE BY AKPAN\"/>
    </mc:Choice>
  </mc:AlternateContent>
  <xr:revisionPtr revIDLastSave="0" documentId="8_{20DAD378-9D9C-4DEC-963E-803CF7EF8AD1}" xr6:coauthVersionLast="47" xr6:coauthVersionMax="47" xr10:uidLastSave="{00000000-0000-0000-0000-000000000000}"/>
  <bookViews>
    <workbookView xWindow="-120" yWindow="-120" windowWidth="20730" windowHeight="11160" xr2:uid="{4AC8500E-959C-4DFD-8E35-E1EFD67F64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58" i="1" l="1"/>
  <c r="G257" i="1"/>
  <c r="G253" i="1"/>
  <c r="G254" i="1"/>
  <c r="G255" i="1"/>
  <c r="G243" i="1"/>
  <c r="G244" i="1"/>
  <c r="G242" i="1"/>
  <c r="G238" i="1"/>
  <c r="G61" i="1"/>
  <c r="G252" i="1"/>
  <c r="G251" i="1"/>
  <c r="G235" i="1"/>
  <c r="G236" i="1"/>
  <c r="G237" i="1"/>
  <c r="D239" i="1"/>
  <c r="G172" i="1"/>
  <c r="G173" i="1"/>
  <c r="G174" i="1"/>
  <c r="G171" i="1"/>
  <c r="G163" i="1"/>
  <c r="G164" i="1"/>
  <c r="G165" i="1"/>
  <c r="G166" i="1"/>
  <c r="G167" i="1"/>
  <c r="G168" i="1"/>
  <c r="G162" i="1"/>
  <c r="G75" i="1"/>
  <c r="G245" i="1" l="1"/>
  <c r="G169" i="1"/>
  <c r="G175" i="1"/>
  <c r="G234" i="1"/>
  <c r="G233" i="1"/>
  <c r="E210" i="1" l="1"/>
  <c r="F67" i="1"/>
  <c r="G256" i="1" l="1"/>
  <c r="G250" i="1"/>
  <c r="G249" i="1"/>
  <c r="G248" i="1"/>
  <c r="G239" i="1"/>
  <c r="G240" i="1" s="1"/>
  <c r="F229" i="1"/>
  <c r="G229" i="1" s="1"/>
  <c r="F228" i="1"/>
  <c r="G228" i="1" s="1"/>
  <c r="F227" i="1"/>
  <c r="G227" i="1" s="1"/>
  <c r="F226" i="1"/>
  <c r="G226" i="1" s="1"/>
  <c r="F225" i="1"/>
  <c r="G225" i="1" s="1"/>
  <c r="G224" i="1"/>
  <c r="F223" i="1"/>
  <c r="G223" i="1" s="1"/>
  <c r="G220" i="1"/>
  <c r="G219" i="1"/>
  <c r="G218" i="1"/>
  <c r="G217" i="1"/>
  <c r="G214" i="1"/>
  <c r="E213" i="1"/>
  <c r="G213" i="1" s="1"/>
  <c r="G211" i="1"/>
  <c r="G210" i="1"/>
  <c r="G209" i="1"/>
  <c r="G208" i="1"/>
  <c r="G205" i="1"/>
  <c r="G204" i="1"/>
  <c r="G203" i="1"/>
  <c r="G200" i="1"/>
  <c r="G199" i="1"/>
  <c r="G196" i="1"/>
  <c r="G195" i="1"/>
  <c r="G188" i="1"/>
  <c r="G187" i="1"/>
  <c r="G184" i="1"/>
  <c r="G183" i="1"/>
  <c r="G182" i="1"/>
  <c r="G179" i="1"/>
  <c r="G178" i="1"/>
  <c r="F158" i="1"/>
  <c r="G158" i="1" s="1"/>
  <c r="F157" i="1"/>
  <c r="G157" i="1" s="1"/>
  <c r="F156" i="1"/>
  <c r="G156" i="1" s="1"/>
  <c r="F155" i="1"/>
  <c r="G155" i="1" s="1"/>
  <c r="F154" i="1"/>
  <c r="G154" i="1" s="1"/>
  <c r="F153" i="1"/>
  <c r="G153" i="1" s="1"/>
  <c r="G152" i="1"/>
  <c r="G151" i="1"/>
  <c r="F150" i="1"/>
  <c r="G150" i="1" s="1"/>
  <c r="G149" i="1"/>
  <c r="G148" i="1"/>
  <c r="G147" i="1"/>
  <c r="G146" i="1"/>
  <c r="G145" i="1"/>
  <c r="G144" i="1"/>
  <c r="G140" i="1"/>
  <c r="G139" i="1"/>
  <c r="G138" i="1"/>
  <c r="G137" i="1"/>
  <c r="G136" i="1"/>
  <c r="G135" i="1"/>
  <c r="G134" i="1"/>
  <c r="E133" i="1"/>
  <c r="G133" i="1" s="1"/>
  <c r="E132" i="1"/>
  <c r="G132" i="1" s="1"/>
  <c r="G128" i="1"/>
  <c r="G127" i="1"/>
  <c r="G126" i="1"/>
  <c r="G125" i="1"/>
  <c r="G124" i="1"/>
  <c r="G123" i="1"/>
  <c r="G122" i="1"/>
  <c r="G121" i="1"/>
  <c r="F120" i="1"/>
  <c r="G120" i="1" s="1"/>
  <c r="G119" i="1"/>
  <c r="G118" i="1"/>
  <c r="G117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F101" i="1"/>
  <c r="G101" i="1" s="1"/>
  <c r="G100" i="1"/>
  <c r="G99" i="1"/>
  <c r="G98" i="1"/>
  <c r="G90" i="1"/>
  <c r="G89" i="1"/>
  <c r="G88" i="1"/>
  <c r="G87" i="1"/>
  <c r="G86" i="1"/>
  <c r="G85" i="1"/>
  <c r="G84" i="1"/>
  <c r="G83" i="1"/>
  <c r="G82" i="1"/>
  <c r="G78" i="1"/>
  <c r="G77" i="1"/>
  <c r="G76" i="1"/>
  <c r="G74" i="1"/>
  <c r="G73" i="1"/>
  <c r="G72" i="1"/>
  <c r="G71" i="1"/>
  <c r="G70" i="1"/>
  <c r="G69" i="1"/>
  <c r="F68" i="1"/>
  <c r="G68" i="1" s="1"/>
  <c r="G67" i="1"/>
  <c r="G66" i="1"/>
  <c r="G62" i="1"/>
  <c r="G60" i="1"/>
  <c r="G52" i="1"/>
  <c r="G51" i="1"/>
  <c r="G50" i="1"/>
  <c r="E49" i="1"/>
  <c r="G49" i="1" s="1"/>
  <c r="G48" i="1"/>
  <c r="G47" i="1"/>
  <c r="G46" i="1"/>
  <c r="G45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2" i="1"/>
  <c r="G21" i="1"/>
  <c r="G20" i="1"/>
  <c r="G19" i="1"/>
  <c r="G18" i="1"/>
  <c r="G13" i="1"/>
  <c r="G12" i="1"/>
  <c r="G11" i="1"/>
  <c r="G10" i="1"/>
  <c r="G189" i="1" l="1"/>
  <c r="G129" i="1"/>
  <c r="G141" i="1"/>
  <c r="G185" i="1"/>
  <c r="G230" i="1"/>
  <c r="G159" i="1"/>
  <c r="G63" i="1"/>
  <c r="G206" i="1"/>
  <c r="G221" i="1"/>
  <c r="G197" i="1"/>
  <c r="G201" i="1"/>
  <c r="G91" i="1"/>
  <c r="G53" i="1"/>
  <c r="G14" i="1"/>
  <c r="G79" i="1"/>
  <c r="G42" i="1"/>
  <c r="G114" i="1"/>
  <c r="G215" i="1"/>
  <c r="G23" i="1"/>
  <c r="G190" i="1" l="1"/>
  <c r="G191" i="1" s="1"/>
  <c r="G231" i="1"/>
  <c r="G94" i="1"/>
  <c r="G55" i="1"/>
</calcChain>
</file>

<file path=xl/sharedStrings.xml><?xml version="1.0" encoding="utf-8"?>
<sst xmlns="http://schemas.openxmlformats.org/spreadsheetml/2006/main" count="434" uniqueCount="304">
  <si>
    <t>Organization name:</t>
  </si>
  <si>
    <t>Rural Initiative for Community Empowerment West Nile (RICE West Nile)</t>
  </si>
  <si>
    <t xml:space="preserve">Project Name: </t>
  </si>
  <si>
    <t xml:space="preserve">Project Period </t>
  </si>
  <si>
    <t>Unit</t>
  </si>
  <si>
    <t>Price per unit</t>
  </si>
  <si>
    <t># of units</t>
  </si>
  <si>
    <t>Freq</t>
  </si>
  <si>
    <t>Total</t>
  </si>
  <si>
    <t xml:space="preserve">Refreshment for participants </t>
  </si>
  <si>
    <t>Soda/water</t>
  </si>
  <si>
    <t>Cartons</t>
  </si>
  <si>
    <t>Biscuits</t>
  </si>
  <si>
    <t>Boxes</t>
  </si>
  <si>
    <t>Honorarium for peer facilitator</t>
  </si>
  <si>
    <t>Persons</t>
  </si>
  <si>
    <t>Fuel for field activities</t>
  </si>
  <si>
    <t>Liters</t>
  </si>
  <si>
    <t xml:space="preserve">Mobilization airtime </t>
  </si>
  <si>
    <t>Subtotal activity 1.1.1</t>
  </si>
  <si>
    <t xml:space="preserve">Persons </t>
  </si>
  <si>
    <t xml:space="preserve">Liters </t>
  </si>
  <si>
    <t>Accomodation for staff</t>
  </si>
  <si>
    <t>Subtotal activity 1.2.1</t>
  </si>
  <si>
    <t>Breakfast</t>
  </si>
  <si>
    <t>Lunch</t>
  </si>
  <si>
    <t>Session Water</t>
  </si>
  <si>
    <t>Average transport refund forParticipants (distance consideration)</t>
  </si>
  <si>
    <t>consultancy and training fee</t>
  </si>
  <si>
    <t xml:space="preserve">Hall Hire </t>
  </si>
  <si>
    <t>Hall</t>
  </si>
  <si>
    <t>Hire of Projector</t>
  </si>
  <si>
    <t>Projector</t>
  </si>
  <si>
    <t>Note Books</t>
  </si>
  <si>
    <t xml:space="preserve">Pieces </t>
  </si>
  <si>
    <t>Pens</t>
  </si>
  <si>
    <t>Marker Pens</t>
  </si>
  <si>
    <t>Flip Charts</t>
  </si>
  <si>
    <t>Rolls</t>
  </si>
  <si>
    <t>Mannila Cards</t>
  </si>
  <si>
    <t>Masking Tape</t>
  </si>
  <si>
    <t>Roll</t>
  </si>
  <si>
    <t>Litres</t>
  </si>
  <si>
    <t>Subtotal activity 1.3.1</t>
  </si>
  <si>
    <t xml:space="preserve">Provision of soda to support the sub county  budget conferences </t>
  </si>
  <si>
    <t>There shall be provision of soda and water for participants during budget conference at the sub-county level</t>
  </si>
  <si>
    <t>Transport refund  for  advocacy champions during parish and sub county level meeting</t>
  </si>
  <si>
    <t>Average transport refund of UGX.20,000 shall be given to advocacy champions during parish level meeting</t>
  </si>
  <si>
    <t>Water/soda</t>
  </si>
  <si>
    <t>Box</t>
  </si>
  <si>
    <t>Transport refund</t>
  </si>
  <si>
    <t>Person</t>
  </si>
  <si>
    <t>Printing of advocacy documents</t>
  </si>
  <si>
    <t>Pages</t>
  </si>
  <si>
    <t>Fuel for staff</t>
  </si>
  <si>
    <t>Subtotal activity 1.4.1</t>
  </si>
  <si>
    <t>Total Outcome 1</t>
  </si>
  <si>
    <t xml:space="preserve">Refreshment during advocacy meeting with leaders </t>
  </si>
  <si>
    <t>Mobilisation Airtime</t>
  </si>
  <si>
    <t>Sub Total Activity 2.1.1</t>
  </si>
  <si>
    <t xml:space="preserve">technical fee to draft and Faciliate legal review of the draft bye-law </t>
  </si>
  <si>
    <t>Document</t>
  </si>
  <si>
    <t>Transport refund for the duty bearers for the field activity</t>
  </si>
  <si>
    <t>Refreshment (Water/soda)</t>
  </si>
  <si>
    <t>Bottles</t>
  </si>
  <si>
    <t>Transport refund for councilors</t>
  </si>
  <si>
    <t>Average transport of UGX.30,000 for councilors during approval of bye-law</t>
  </si>
  <si>
    <t>Meals facilitation of UGX.20,000 shall be given to the councilors during approval of bye-law</t>
  </si>
  <si>
    <t>Transport refund for duty bearers</t>
  </si>
  <si>
    <t>Transport refund for duty bearors</t>
  </si>
  <si>
    <t>Sub Total Activity 2.2.1</t>
  </si>
  <si>
    <t>Breaktea</t>
  </si>
  <si>
    <t>Hall cleaning</t>
  </si>
  <si>
    <t>box</t>
  </si>
  <si>
    <t>Accomodation for the staff</t>
  </si>
  <si>
    <t>Transport Refund</t>
  </si>
  <si>
    <t>Flip Chart</t>
  </si>
  <si>
    <t>Fuel to travel to the field for the meeting</t>
  </si>
  <si>
    <t>Mobilisation airtime</t>
  </si>
  <si>
    <t>Sub Total</t>
  </si>
  <si>
    <t>Sub Total Activity 2.3.1</t>
  </si>
  <si>
    <t xml:space="preserve">  Total Outcome 2</t>
  </si>
  <si>
    <t>consultancy fee for good governance and evidence-based advocacy training</t>
  </si>
  <si>
    <t xml:space="preserve">The amount budgeted covers all costs including; development of training materials, delivering actual training for 2 days, report writing, accomodation, transportation etc. </t>
  </si>
  <si>
    <t>Meals shall be provided for 40 participants and 2 RICE West Nile Staff = 42 participants in general for two days</t>
  </si>
  <si>
    <t>Water</t>
  </si>
  <si>
    <t>Hall hire for 2 days</t>
  </si>
  <si>
    <t>Piece</t>
  </si>
  <si>
    <t>Projector hire for 2 days</t>
  </si>
  <si>
    <t>Average transport facilitation for 40 participant for 2 day</t>
  </si>
  <si>
    <t xml:space="preserve">Airtime for mobilization </t>
  </si>
  <si>
    <t>Airtime</t>
  </si>
  <si>
    <t>Fuel for staff travel to the field</t>
  </si>
  <si>
    <t xml:space="preserve">Litres </t>
  </si>
  <si>
    <t>Staff perdiem for 2 staff for 2 days</t>
  </si>
  <si>
    <t>Flip charts</t>
  </si>
  <si>
    <t>Marker pens</t>
  </si>
  <si>
    <t>Note books (one quire hardcover)</t>
  </si>
  <si>
    <t xml:space="preserve">Manilla Paper </t>
  </si>
  <si>
    <t>Masking tape</t>
  </si>
  <si>
    <t>Sub total</t>
  </si>
  <si>
    <t xml:space="preserve">Fuel </t>
  </si>
  <si>
    <t>Sub Total Activity 3.1.2</t>
  </si>
  <si>
    <t>Generator fuel</t>
  </si>
  <si>
    <t>Sub total Activity 3.2.1:</t>
  </si>
  <si>
    <t>sub total</t>
  </si>
  <si>
    <t>Subtotal</t>
  </si>
  <si>
    <t>Sub Total Activity 3.3.1:</t>
  </si>
  <si>
    <t>Total Outcome 3</t>
  </si>
  <si>
    <t>MEAL Activities</t>
  </si>
  <si>
    <t>Monthly monitoring by Project Team</t>
  </si>
  <si>
    <t>Fuel</t>
  </si>
  <si>
    <t>Accommodation for staff (04 staff for 03 nights)</t>
  </si>
  <si>
    <t>Outcome harvesting</t>
  </si>
  <si>
    <t>Joint monitroing with stakeholders</t>
  </si>
  <si>
    <t>Fuel for RICE WN Team</t>
  </si>
  <si>
    <t>Fuel refund for District and OPM</t>
  </si>
  <si>
    <t>Refreshment  (soda/water)</t>
  </si>
  <si>
    <t xml:space="preserve">Mobilisation Airtime </t>
  </si>
  <si>
    <t xml:space="preserve"> Monitoring Board</t>
  </si>
  <si>
    <t xml:space="preserve">Perdiem for board members and staff </t>
  </si>
  <si>
    <t>Plates</t>
  </si>
  <si>
    <t>Break tea</t>
  </si>
  <si>
    <t>Airtime for coordination</t>
  </si>
  <si>
    <t>Average Transport refund for participants</t>
  </si>
  <si>
    <t xml:space="preserve">Hall hire </t>
  </si>
  <si>
    <t>Projector Hire</t>
  </si>
  <si>
    <t>Accomodation per diem for 3 staff for 2 days</t>
  </si>
  <si>
    <t xml:space="preserve"> Total MEAL activity</t>
  </si>
  <si>
    <t>10% NSSF Contributon for the two staff</t>
  </si>
  <si>
    <t>Monthly</t>
  </si>
  <si>
    <t xml:space="preserve">Contribution to office internet </t>
  </si>
  <si>
    <t>Contribution for office stationery</t>
  </si>
  <si>
    <t xml:space="preserve">Contribution for motorvehicle maintenance </t>
  </si>
  <si>
    <t>Contribution to bank/mobile money charges for participants payments online</t>
  </si>
  <si>
    <t>Total for administrative contributions</t>
  </si>
  <si>
    <t>Total Budget</t>
  </si>
  <si>
    <t>cartons</t>
  </si>
  <si>
    <t xml:space="preserve">Outcome 1: </t>
  </si>
  <si>
    <t xml:space="preserve">Activity 1.1.1: </t>
  </si>
  <si>
    <t>Budget Justification</t>
  </si>
  <si>
    <t xml:space="preserve">Activity 1.2.1: </t>
  </si>
  <si>
    <t xml:space="preserve">Activity 1.3.1: </t>
  </si>
  <si>
    <t>Average transport refund for participants</t>
  </si>
  <si>
    <t>Activity 1.4.1:</t>
  </si>
  <si>
    <t xml:space="preserve">Outcome 2: </t>
  </si>
  <si>
    <t xml:space="preserve">Activity 2.1.1: </t>
  </si>
  <si>
    <t xml:space="preserve">Activity 2.2.1: </t>
  </si>
  <si>
    <t>Outcome 3:</t>
  </si>
  <si>
    <t xml:space="preserve">Activity 3.1.1: </t>
  </si>
  <si>
    <t>Activity 3.1.2:</t>
  </si>
  <si>
    <t>Activity 3.2.1:</t>
  </si>
  <si>
    <t>Activity 3.3.1:</t>
  </si>
  <si>
    <t>Perdiem</t>
  </si>
  <si>
    <t>Personnel Costs</t>
  </si>
  <si>
    <t>Administrative expenses</t>
  </si>
  <si>
    <t>Office Rent contribution</t>
  </si>
  <si>
    <t>1.1.1.1</t>
  </si>
  <si>
    <t>1.1.1.2</t>
  </si>
  <si>
    <t>1.1.1.3</t>
  </si>
  <si>
    <t>1.1.1.4</t>
  </si>
  <si>
    <t>1.1.1.5</t>
  </si>
  <si>
    <t>1.2.1.1</t>
  </si>
  <si>
    <t>1.2.1.2</t>
  </si>
  <si>
    <t>1.2.1.3</t>
  </si>
  <si>
    <t>1.2.1.4</t>
  </si>
  <si>
    <t>1.2.1.5</t>
  </si>
  <si>
    <t>1.2.1.6</t>
  </si>
  <si>
    <t>1.3.1.1</t>
  </si>
  <si>
    <t>1.3.1.2</t>
  </si>
  <si>
    <t>1.3.1.3</t>
  </si>
  <si>
    <t>1.3.1.4</t>
  </si>
  <si>
    <t>1.3.1.5</t>
  </si>
  <si>
    <t>1.3.1.6</t>
  </si>
  <si>
    <t>1.3.1.7</t>
  </si>
  <si>
    <t>1.3.1.8</t>
  </si>
  <si>
    <t>1.3.1.9</t>
  </si>
  <si>
    <t>1.3.1.10</t>
  </si>
  <si>
    <t>1.3.1.11</t>
  </si>
  <si>
    <t>1.3.1.12</t>
  </si>
  <si>
    <t>1.3.1.13</t>
  </si>
  <si>
    <t>1.3.1.14</t>
  </si>
  <si>
    <t>1.3.1.15</t>
  </si>
  <si>
    <t>1.3.1.16</t>
  </si>
  <si>
    <t>1.4.1.1</t>
  </si>
  <si>
    <t>1.4.1.2</t>
  </si>
  <si>
    <t>1.4.1.3</t>
  </si>
  <si>
    <t>1.4.1.4</t>
  </si>
  <si>
    <t>1.4.1.5</t>
  </si>
  <si>
    <t>1.4.1.6</t>
  </si>
  <si>
    <t>1.4.1.7</t>
  </si>
  <si>
    <t>1.4.1.8</t>
  </si>
  <si>
    <t>2.1.1.1</t>
  </si>
  <si>
    <t>2.1.1.2</t>
  </si>
  <si>
    <t>2.1.1.3</t>
  </si>
  <si>
    <t>2.1.1.4</t>
  </si>
  <si>
    <t>2.2.1.1</t>
  </si>
  <si>
    <t>2.2.1.2</t>
  </si>
  <si>
    <t>2.2.1.3</t>
  </si>
  <si>
    <t>2.2.1.4</t>
  </si>
  <si>
    <t>2.2.1.5</t>
  </si>
  <si>
    <t>2.2.1.6</t>
  </si>
  <si>
    <t>2.2.1.7</t>
  </si>
  <si>
    <t>2.2.1.8</t>
  </si>
  <si>
    <t>2.2.1.9</t>
  </si>
  <si>
    <t>2.2.1.10</t>
  </si>
  <si>
    <t>2.2.1.11</t>
  </si>
  <si>
    <t>2.2.1.12</t>
  </si>
  <si>
    <t>2.2.1.13</t>
  </si>
  <si>
    <t>Activity 2.3.1</t>
  </si>
  <si>
    <t>2.3.1.1</t>
  </si>
  <si>
    <t>2.3.1.2</t>
  </si>
  <si>
    <t>2.3.1.3</t>
  </si>
  <si>
    <t>2.3.1.4</t>
  </si>
  <si>
    <t>2.3.1.5</t>
  </si>
  <si>
    <t>2.3.1.6</t>
  </si>
  <si>
    <t>2.3.1.7</t>
  </si>
  <si>
    <t>2.3.1.8</t>
  </si>
  <si>
    <t>2.3.1.9</t>
  </si>
  <si>
    <t>3.1.1.1</t>
  </si>
  <si>
    <t>3.1.1.2</t>
  </si>
  <si>
    <t>3.1.1.3</t>
  </si>
  <si>
    <t>3.1.1.4</t>
  </si>
  <si>
    <t>3.1.1.5</t>
  </si>
  <si>
    <t>3.1.1.6</t>
  </si>
  <si>
    <t>3.1.1.7</t>
  </si>
  <si>
    <t>3.1.1.8</t>
  </si>
  <si>
    <t>3.1.1.9</t>
  </si>
  <si>
    <t>3.1.1.10</t>
  </si>
  <si>
    <t>3.1.1.11</t>
  </si>
  <si>
    <t>3.1.1.12</t>
  </si>
  <si>
    <t>3.1.1.13</t>
  </si>
  <si>
    <t>3.1.1.14</t>
  </si>
  <si>
    <t>3.1.1.15</t>
  </si>
  <si>
    <t>3.1.1.16</t>
  </si>
  <si>
    <t>3.1.2.1</t>
  </si>
  <si>
    <t>3.1.2.2</t>
  </si>
  <si>
    <t>3.1.2.3</t>
  </si>
  <si>
    <t>3.1.2.4</t>
  </si>
  <si>
    <t>3.1.2.5</t>
  </si>
  <si>
    <t>3.1.2.6</t>
  </si>
  <si>
    <t>3.1.2.7</t>
  </si>
  <si>
    <t>3.1.2.8</t>
  </si>
  <si>
    <t>3.1.2.9</t>
  </si>
  <si>
    <t>3.1.2.10</t>
  </si>
  <si>
    <t>3.1.2.11</t>
  </si>
  <si>
    <t>3.1.2.12</t>
  </si>
  <si>
    <t>3.2.1.1</t>
  </si>
  <si>
    <t>3.2.1.2</t>
  </si>
  <si>
    <t>3.2.1.3</t>
  </si>
  <si>
    <t>3.2.1.4</t>
  </si>
  <si>
    <t>3.2.1.5</t>
  </si>
  <si>
    <t>3.2.1.6</t>
  </si>
  <si>
    <t>3.2.1.7</t>
  </si>
  <si>
    <t>3.2.1.8</t>
  </si>
  <si>
    <t>3.2.1.9</t>
  </si>
  <si>
    <t>3.3.1.1</t>
  </si>
  <si>
    <t>3.3.1.2</t>
  </si>
  <si>
    <t>3.3.1.3</t>
  </si>
  <si>
    <t>3.3.1.4</t>
  </si>
  <si>
    <t>3.3.1.5</t>
  </si>
  <si>
    <t>3.3.1.6</t>
  </si>
  <si>
    <t>3.3.1.7</t>
  </si>
  <si>
    <t>3.3.1.8</t>
  </si>
  <si>
    <t>3.3.1.9</t>
  </si>
  <si>
    <t>3.3.1.10</t>
  </si>
  <si>
    <t>3.3.1.11</t>
  </si>
  <si>
    <t>3.3.1.12</t>
  </si>
  <si>
    <t>3.3.1.13</t>
  </si>
  <si>
    <t>3.3.1.14</t>
  </si>
  <si>
    <t>3.3.1.15</t>
  </si>
  <si>
    <t>3.3.1.16</t>
  </si>
  <si>
    <t>3.3.1.17</t>
  </si>
  <si>
    <t>3.3.1.18</t>
  </si>
  <si>
    <t>3.3.1.19</t>
  </si>
  <si>
    <t>3.3.1.20</t>
  </si>
  <si>
    <t>3.3.1.21</t>
  </si>
  <si>
    <t>3.3.1.22</t>
  </si>
  <si>
    <t>3.3.1.23</t>
  </si>
  <si>
    <t>3.3.1.24</t>
  </si>
  <si>
    <t>3.3.1.25</t>
  </si>
  <si>
    <t>3.3.1.26</t>
  </si>
  <si>
    <t>3.3.1.27</t>
  </si>
  <si>
    <t>3.3.1.28</t>
  </si>
  <si>
    <t>3.3.1.30</t>
  </si>
  <si>
    <t>3.3.1.31</t>
  </si>
  <si>
    <t>3.3.1.32</t>
  </si>
  <si>
    <t>3.3.1.33</t>
  </si>
  <si>
    <t>3.3.1.34</t>
  </si>
  <si>
    <t>3.3.1.35</t>
  </si>
  <si>
    <t>3.3.1.36</t>
  </si>
  <si>
    <t>3.3.1.37</t>
  </si>
  <si>
    <t>3.3.1.38</t>
  </si>
  <si>
    <t xml:space="preserve">Project review and closeout meetings targeting </t>
  </si>
  <si>
    <t>Monitoring by Management</t>
  </si>
  <si>
    <t>Medical Insurance</t>
  </si>
  <si>
    <t>Gratuity benefits</t>
  </si>
  <si>
    <t>Workman Compensation</t>
  </si>
  <si>
    <t>Annually</t>
  </si>
  <si>
    <t>Sub - total</t>
  </si>
  <si>
    <t>Contribution to office utility</t>
  </si>
  <si>
    <t>Contribution to staff welfare</t>
  </si>
  <si>
    <t>Contribution to garbage collection</t>
  </si>
  <si>
    <t>Activity # as per key 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</si>
</sst>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(* #,##0_);_(* \(#,##0\);_(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15">
    <xf numFmtId="0" fontId="0" fillId="0" borderId="0" xfId="0"/>
    <xf numFmtId="0" fontId="3" fillId="2" borderId="1" xfId="0" applyFont="1" applyFill="1" applyBorder="1"/>
    <xf numFmtId="0" fontId="3" fillId="2" borderId="3" xfId="0" applyFont="1" applyFill="1" applyBorder="1" applyAlignment="1">
      <alignment horizontal="left"/>
    </xf>
    <xf numFmtId="164" fontId="3" fillId="2" borderId="4" xfId="1" applyNumberFormat="1" applyFont="1" applyFill="1" applyBorder="1" applyAlignment="1">
      <alignment horizontal="left"/>
    </xf>
    <xf numFmtId="0" fontId="3" fillId="2" borderId="2" xfId="0" applyFont="1" applyFill="1" applyBorder="1" applyAlignment="1">
      <alignment horizontal="right"/>
    </xf>
    <xf numFmtId="3" fontId="3" fillId="2" borderId="3" xfId="1" applyNumberFormat="1" applyFont="1" applyFill="1" applyBorder="1" applyAlignment="1">
      <alignment horizontal="right"/>
    </xf>
    <xf numFmtId="3" fontId="3" fillId="2" borderId="3" xfId="0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right"/>
    </xf>
    <xf numFmtId="3" fontId="3" fillId="2" borderId="1" xfId="1" applyNumberFormat="1" applyFont="1" applyFill="1" applyBorder="1" applyAlignment="1">
      <alignment horizontal="right"/>
    </xf>
    <xf numFmtId="3" fontId="3" fillId="2" borderId="1" xfId="0" applyNumberFormat="1" applyFont="1" applyFill="1" applyBorder="1" applyAlignment="1">
      <alignment horizontal="right"/>
    </xf>
    <xf numFmtId="164" fontId="3" fillId="2" borderId="1" xfId="1" applyNumberFormat="1" applyFont="1" applyFill="1" applyBorder="1"/>
    <xf numFmtId="164" fontId="1" fillId="0" borderId="1" xfId="1" applyNumberFormat="1" applyFont="1" applyBorder="1"/>
    <xf numFmtId="3" fontId="0" fillId="3" borderId="1" xfId="0" applyNumberFormat="1" applyFill="1" applyBorder="1" applyAlignment="1">
      <alignment horizontal="right"/>
    </xf>
    <xf numFmtId="0" fontId="0" fillId="3" borderId="1" xfId="0" applyFill="1" applyBorder="1"/>
    <xf numFmtId="0" fontId="0" fillId="3" borderId="1" xfId="0" applyFill="1" applyBorder="1" applyAlignment="1">
      <alignment horizontal="right" wrapText="1"/>
    </xf>
    <xf numFmtId="3" fontId="1" fillId="3" borderId="1" xfId="1" applyNumberFormat="1" applyFont="1" applyFill="1" applyBorder="1" applyAlignment="1">
      <alignment horizontal="right"/>
    </xf>
    <xf numFmtId="164" fontId="1" fillId="3" borderId="1" xfId="1" applyNumberFormat="1" applyFont="1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right"/>
    </xf>
    <xf numFmtId="3" fontId="3" fillId="3" borderId="1" xfId="1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3" fontId="3" fillId="3" borderId="1" xfId="1" applyNumberFormat="1" applyFont="1" applyFill="1" applyBorder="1"/>
    <xf numFmtId="0" fontId="0" fillId="3" borderId="1" xfId="0" applyFill="1" applyBorder="1" applyAlignment="1">
      <alignment horizontal="right"/>
    </xf>
    <xf numFmtId="0" fontId="3" fillId="3" borderId="0" xfId="0" applyFont="1" applyFill="1"/>
    <xf numFmtId="0" fontId="3" fillId="3" borderId="5" xfId="0" applyFont="1" applyFill="1" applyBorder="1" applyAlignment="1">
      <alignment horizontal="right"/>
    </xf>
    <xf numFmtId="3" fontId="3" fillId="3" borderId="0" xfId="1" applyNumberFormat="1" applyFont="1" applyFill="1" applyBorder="1" applyAlignment="1">
      <alignment horizontal="right"/>
    </xf>
    <xf numFmtId="3" fontId="3" fillId="3" borderId="0" xfId="0" applyNumberFormat="1" applyFont="1" applyFill="1" applyAlignment="1">
      <alignment horizontal="right"/>
    </xf>
    <xf numFmtId="3" fontId="3" fillId="3" borderId="6" xfId="1" applyNumberFormat="1" applyFont="1" applyFill="1" applyBorder="1" applyAlignment="1">
      <alignment horizontal="right"/>
    </xf>
    <xf numFmtId="164" fontId="3" fillId="3" borderId="1" xfId="1" applyNumberFormat="1" applyFont="1" applyFill="1" applyBorder="1"/>
    <xf numFmtId="0" fontId="3" fillId="3" borderId="3" xfId="0" applyFont="1" applyFill="1" applyBorder="1" applyAlignment="1">
      <alignment horizontal="right"/>
    </xf>
    <xf numFmtId="3" fontId="3" fillId="3" borderId="3" xfId="1" applyNumberFormat="1" applyFont="1" applyFill="1" applyBorder="1" applyAlignment="1">
      <alignment horizontal="right"/>
    </xf>
    <xf numFmtId="3" fontId="3" fillId="3" borderId="3" xfId="0" applyNumberFormat="1" applyFont="1" applyFill="1" applyBorder="1" applyAlignment="1">
      <alignment horizontal="right"/>
    </xf>
    <xf numFmtId="0" fontId="3" fillId="3" borderId="3" xfId="0" applyFont="1" applyFill="1" applyBorder="1"/>
    <xf numFmtId="164" fontId="3" fillId="3" borderId="4" xfId="1" applyNumberFormat="1" applyFont="1" applyFill="1" applyBorder="1"/>
    <xf numFmtId="0" fontId="0" fillId="3" borderId="1" xfId="0" applyFill="1" applyBorder="1" applyAlignment="1">
      <alignment horizontal="left" wrapText="1"/>
    </xf>
    <xf numFmtId="164" fontId="4" fillId="3" borderId="1" xfId="1" applyNumberFormat="1" applyFont="1" applyFill="1" applyBorder="1" applyAlignment="1">
      <alignment wrapText="1"/>
    </xf>
    <xf numFmtId="164" fontId="3" fillId="3" borderId="1" xfId="1" applyNumberFormat="1" applyFont="1" applyFill="1" applyBorder="1" applyAlignment="1"/>
    <xf numFmtId="164" fontId="3" fillId="3" borderId="3" xfId="1" applyNumberFormat="1" applyFont="1" applyFill="1" applyBorder="1"/>
    <xf numFmtId="164" fontId="5" fillId="3" borderId="1" xfId="1" applyNumberFormat="1" applyFont="1" applyFill="1" applyBorder="1" applyAlignment="1">
      <alignment wrapText="1"/>
    </xf>
    <xf numFmtId="3" fontId="0" fillId="3" borderId="1" xfId="0" applyNumberFormat="1" applyFill="1" applyBorder="1" applyAlignment="1">
      <alignment horizontal="right" wrapText="1"/>
    </xf>
    <xf numFmtId="3" fontId="3" fillId="3" borderId="1" xfId="0" applyNumberFormat="1" applyFont="1" applyFill="1" applyBorder="1" applyAlignment="1">
      <alignment horizontal="right" wrapText="1"/>
    </xf>
    <xf numFmtId="0" fontId="0" fillId="0" borderId="0" xfId="0" applyAlignment="1">
      <alignment horizontal="right"/>
    </xf>
    <xf numFmtId="3" fontId="1" fillId="0" borderId="0" xfId="1" applyNumberFormat="1" applyFont="1" applyAlignment="1">
      <alignment horizontal="right"/>
    </xf>
    <xf numFmtId="3" fontId="0" fillId="0" borderId="0" xfId="0" applyNumberFormat="1" applyAlignment="1">
      <alignment horizontal="right"/>
    </xf>
    <xf numFmtId="3" fontId="0" fillId="0" borderId="0" xfId="0" applyNumberFormat="1"/>
    <xf numFmtId="0" fontId="0" fillId="3" borderId="1" xfId="0" applyFill="1" applyBorder="1" applyAlignment="1">
      <alignment horizontal="left" vertical="top" wrapText="1"/>
    </xf>
    <xf numFmtId="164" fontId="0" fillId="3" borderId="1" xfId="0" applyNumberForma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center" wrapText="1"/>
    </xf>
    <xf numFmtId="164" fontId="2" fillId="3" borderId="1" xfId="1" applyNumberFormat="1" applyFont="1" applyFill="1" applyBorder="1"/>
    <xf numFmtId="0" fontId="0" fillId="3" borderId="1" xfId="0" applyFill="1" applyBorder="1" applyAlignment="1">
      <alignment horizontal="center"/>
    </xf>
    <xf numFmtId="0" fontId="0" fillId="3" borderId="0" xfId="0" applyFill="1" applyAlignment="1">
      <alignment wrapText="1"/>
    </xf>
    <xf numFmtId="164" fontId="1" fillId="3" borderId="1" xfId="1" applyNumberFormat="1" applyFont="1" applyFill="1" applyBorder="1" applyAlignment="1">
      <alignment wrapText="1"/>
    </xf>
    <xf numFmtId="0" fontId="3" fillId="3" borderId="1" xfId="0" applyFont="1" applyFill="1" applyBorder="1" applyAlignment="1">
      <alignment horizontal="right" wrapText="1"/>
    </xf>
    <xf numFmtId="164" fontId="1" fillId="3" borderId="1" xfId="1" applyNumberFormat="1" applyFont="1" applyFill="1" applyBorder="1" applyAlignment="1"/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top" wrapText="1"/>
    </xf>
    <xf numFmtId="164" fontId="3" fillId="3" borderId="1" xfId="0" applyNumberFormat="1" applyFont="1" applyFill="1" applyBorder="1" applyAlignment="1">
      <alignment horizontal="left" vertical="top" wrapText="1"/>
    </xf>
    <xf numFmtId="41" fontId="0" fillId="0" borderId="0" xfId="2" applyFont="1"/>
    <xf numFmtId="41" fontId="0" fillId="0" borderId="0" xfId="0" applyNumberFormat="1"/>
    <xf numFmtId="9" fontId="0" fillId="0" borderId="0" xfId="3" applyFont="1"/>
    <xf numFmtId="43" fontId="0" fillId="0" borderId="0" xfId="0" applyNumberFormat="1"/>
    <xf numFmtId="164" fontId="0" fillId="0" borderId="0" xfId="0" applyNumberFormat="1"/>
    <xf numFmtId="164" fontId="0" fillId="0" borderId="0" xfId="1" applyNumberFormat="1" applyFont="1"/>
    <xf numFmtId="0" fontId="7" fillId="0" borderId="0" xfId="4"/>
    <xf numFmtId="0" fontId="3" fillId="3" borderId="4" xfId="0" applyFont="1" applyFill="1" applyBorder="1" applyAlignment="1">
      <alignment horizontal="left" wrapText="1"/>
    </xf>
    <xf numFmtId="0" fontId="0" fillId="3" borderId="0" xfId="0" applyFill="1"/>
    <xf numFmtId="0" fontId="3" fillId="5" borderId="1" xfId="0" applyFont="1" applyFill="1" applyBorder="1" applyAlignment="1">
      <alignment horizontal="right"/>
    </xf>
    <xf numFmtId="3" fontId="3" fillId="5" borderId="1" xfId="1" applyNumberFormat="1" applyFont="1" applyFill="1" applyBorder="1" applyAlignment="1">
      <alignment horizontal="right"/>
    </xf>
    <xf numFmtId="3" fontId="3" fillId="5" borderId="1" xfId="0" applyNumberFormat="1" applyFont="1" applyFill="1" applyBorder="1" applyAlignment="1">
      <alignment horizontal="right"/>
    </xf>
    <xf numFmtId="0" fontId="3" fillId="5" borderId="1" xfId="0" applyFont="1" applyFill="1" applyBorder="1"/>
    <xf numFmtId="164" fontId="3" fillId="5" borderId="4" xfId="1" applyNumberFormat="1" applyFont="1" applyFill="1" applyBorder="1"/>
    <xf numFmtId="3" fontId="1" fillId="5" borderId="1" xfId="1" applyNumberFormat="1" applyFont="1" applyFill="1" applyBorder="1" applyAlignment="1">
      <alignment horizontal="right"/>
    </xf>
    <xf numFmtId="0" fontId="0" fillId="4" borderId="1" xfId="0" applyFill="1" applyBorder="1" applyAlignment="1">
      <alignment horizontal="right"/>
    </xf>
    <xf numFmtId="3" fontId="1" fillId="4" borderId="1" xfId="1" applyNumberFormat="1" applyFont="1" applyFill="1" applyBorder="1" applyAlignment="1">
      <alignment horizontal="right"/>
    </xf>
    <xf numFmtId="3" fontId="0" fillId="4" borderId="1" xfId="0" applyNumberFormat="1" applyFill="1" applyBorder="1" applyAlignment="1">
      <alignment horizontal="right"/>
    </xf>
    <xf numFmtId="0" fontId="0" fillId="4" borderId="1" xfId="0" applyFill="1" applyBorder="1"/>
    <xf numFmtId="164" fontId="1" fillId="4" borderId="1" xfId="1" applyNumberFormat="1" applyFont="1" applyFill="1" applyBorder="1"/>
    <xf numFmtId="164" fontId="3" fillId="4" borderId="1" xfId="1" applyNumberFormat="1" applyFont="1" applyFill="1" applyBorder="1"/>
    <xf numFmtId="0" fontId="3" fillId="3" borderId="3" xfId="0" applyFont="1" applyFill="1" applyBorder="1" applyAlignment="1">
      <alignment horizontal="left" wrapText="1"/>
    </xf>
    <xf numFmtId="0" fontId="3" fillId="3" borderId="4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 wrapText="1"/>
    </xf>
    <xf numFmtId="0" fontId="3" fillId="2" borderId="3" xfId="0" applyFont="1" applyFill="1" applyBorder="1" applyAlignment="1">
      <alignment horizontal="left" wrapText="1"/>
    </xf>
    <xf numFmtId="0" fontId="3" fillId="2" borderId="4" xfId="0" applyFont="1" applyFill="1" applyBorder="1" applyAlignment="1">
      <alignment horizontal="left" wrapText="1"/>
    </xf>
    <xf numFmtId="0" fontId="3" fillId="4" borderId="2" xfId="0" applyFont="1" applyFill="1" applyBorder="1" applyAlignment="1">
      <alignment horizontal="left" wrapText="1"/>
    </xf>
    <xf numFmtId="0" fontId="3" fillId="4" borderId="3" xfId="0" applyFont="1" applyFill="1" applyBorder="1" applyAlignment="1">
      <alignment horizontal="left" wrapText="1"/>
    </xf>
    <xf numFmtId="0" fontId="3" fillId="4" borderId="4" xfId="0" applyFont="1" applyFill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0" fillId="3" borderId="3" xfId="0" applyFill="1" applyBorder="1"/>
    <xf numFmtId="0" fontId="3" fillId="3" borderId="3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vertical="center" wrapText="1"/>
    </xf>
    <xf numFmtId="0" fontId="0" fillId="3" borderId="4" xfId="0" applyFill="1" applyBorder="1" applyAlignment="1">
      <alignment wrapText="1"/>
    </xf>
    <xf numFmtId="0" fontId="3" fillId="3" borderId="4" xfId="0" applyFont="1" applyFill="1" applyBorder="1"/>
    <xf numFmtId="0" fontId="3" fillId="3" borderId="3" xfId="0" applyFont="1" applyFill="1" applyBorder="1"/>
    <xf numFmtId="0" fontId="3" fillId="3" borderId="4" xfId="0" applyFont="1" applyFill="1" applyBorder="1" applyAlignment="1">
      <alignment wrapText="1"/>
    </xf>
    <xf numFmtId="0" fontId="3" fillId="3" borderId="3" xfId="0" applyFont="1" applyFill="1" applyBorder="1" applyAlignment="1">
      <alignment wrapText="1"/>
    </xf>
    <xf numFmtId="0" fontId="0" fillId="3" borderId="4" xfId="0" applyFill="1" applyBorder="1" applyAlignment="1">
      <alignment horizontal="left" wrapText="1"/>
    </xf>
    <xf numFmtId="0" fontId="0" fillId="3" borderId="4" xfId="0" applyFill="1" applyBorder="1"/>
    <xf numFmtId="0" fontId="0" fillId="3" borderId="7" xfId="0" applyFill="1" applyBorder="1"/>
    <xf numFmtId="0" fontId="3" fillId="3" borderId="4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0" fontId="6" fillId="3" borderId="4" xfId="0" applyFont="1" applyFill="1" applyBorder="1" applyAlignment="1">
      <alignment wrapText="1"/>
    </xf>
    <xf numFmtId="0" fontId="0" fillId="3" borderId="4" xfId="0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3" fillId="4" borderId="4" xfId="0" applyFont="1" applyFill="1" applyBorder="1"/>
    <xf numFmtId="0" fontId="3" fillId="4" borderId="4" xfId="0" applyFont="1" applyFill="1" applyBorder="1" applyAlignment="1">
      <alignment horizontal="left"/>
    </xf>
    <xf numFmtId="0" fontId="3" fillId="4" borderId="4" xfId="0" applyFont="1" applyFill="1" applyBorder="1" applyAlignment="1">
      <alignment wrapText="1"/>
    </xf>
    <xf numFmtId="0" fontId="3" fillId="5" borderId="4" xfId="0" applyFont="1" applyFill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right"/>
    </xf>
  </cellXfs>
  <cellStyles count="5">
    <cellStyle name="Comma" xfId="1" builtinId="3"/>
    <cellStyle name="Comma [0]" xfId="2" builtinId="6"/>
    <cellStyle name="Hyperlink" xfId="4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D2308-A882-48B2-902B-BB57BEEBC9A3}">
  <dimension ref="A2:I260"/>
  <sheetViews>
    <sheetView tabSelected="1" workbookViewId="0">
      <pane ySplit="7" topLeftCell="A8" activePane="bottomLeft" state="frozen"/>
      <selection pane="bottomLeft" activeCell="D18" sqref="D18"/>
    </sheetView>
  </sheetViews>
  <sheetFormatPr defaultRowHeight="15" x14ac:dyDescent="0.25"/>
  <cols>
    <col min="2" max="2" width="33.42578125" customWidth="1"/>
    <col min="3" max="3" width="10" customWidth="1"/>
    <col min="4" max="4" width="13.85546875" customWidth="1"/>
    <col min="5" max="5" width="10.7109375" customWidth="1"/>
    <col min="6" max="6" width="9.28515625" customWidth="1"/>
    <col min="7" max="7" width="26" customWidth="1"/>
    <col min="8" max="8" width="44.28515625" customWidth="1"/>
    <col min="9" max="9" width="13.28515625" bestFit="1" customWidth="1"/>
  </cols>
  <sheetData>
    <row r="2" spans="1:9" x14ac:dyDescent="0.25">
      <c r="B2" s="1" t="s">
        <v>0</v>
      </c>
      <c r="C2" s="81" t="s">
        <v>1</v>
      </c>
      <c r="D2" s="82"/>
      <c r="E2" s="82"/>
      <c r="F2" s="82"/>
      <c r="G2" s="82"/>
      <c r="H2" s="3"/>
    </row>
    <row r="3" spans="1:9" x14ac:dyDescent="0.25">
      <c r="B3" s="1" t="s">
        <v>2</v>
      </c>
      <c r="C3" s="83"/>
      <c r="D3" s="84"/>
      <c r="E3" s="84"/>
      <c r="F3" s="84"/>
      <c r="G3" s="84"/>
      <c r="H3" s="85"/>
    </row>
    <row r="4" spans="1:9" x14ac:dyDescent="0.25">
      <c r="B4" s="1" t="s">
        <v>3</v>
      </c>
      <c r="C4" s="81"/>
      <c r="D4" s="82"/>
      <c r="E4" s="82"/>
      <c r="F4" s="82"/>
      <c r="G4" s="82"/>
      <c r="H4" s="3"/>
    </row>
    <row r="5" spans="1:9" x14ac:dyDescent="0.25">
      <c r="B5" s="1"/>
      <c r="C5" s="4"/>
      <c r="D5" s="5"/>
      <c r="E5" s="6"/>
      <c r="F5" s="2"/>
      <c r="G5" s="5"/>
      <c r="H5" s="3"/>
    </row>
    <row r="6" spans="1:9" x14ac:dyDescent="0.25">
      <c r="B6" s="7" t="s">
        <v>303</v>
      </c>
      <c r="C6" s="8" t="s">
        <v>4</v>
      </c>
      <c r="D6" s="9" t="s">
        <v>5</v>
      </c>
      <c r="E6" s="10" t="s">
        <v>6</v>
      </c>
      <c r="F6" s="1" t="s">
        <v>7</v>
      </c>
      <c r="G6" s="9" t="s">
        <v>8</v>
      </c>
      <c r="H6" s="11" t="s">
        <v>140</v>
      </c>
      <c r="I6" s="64"/>
    </row>
    <row r="7" spans="1:9" x14ac:dyDescent="0.25">
      <c r="B7" s="86" t="s">
        <v>138</v>
      </c>
      <c r="C7" s="87"/>
      <c r="D7" s="87"/>
      <c r="E7" s="87"/>
      <c r="F7" s="87"/>
      <c r="G7" s="87"/>
      <c r="H7" s="88"/>
    </row>
    <row r="8" spans="1:9" x14ac:dyDescent="0.25">
      <c r="A8" s="113"/>
      <c r="B8" s="89" t="s">
        <v>139</v>
      </c>
      <c r="C8" s="89"/>
      <c r="D8" s="89"/>
      <c r="E8" s="89"/>
      <c r="F8" s="89"/>
      <c r="G8" s="89"/>
      <c r="H8" s="12"/>
    </row>
    <row r="9" spans="1:9" x14ac:dyDescent="0.25">
      <c r="A9" s="114" t="s">
        <v>157</v>
      </c>
      <c r="B9" s="94" t="s">
        <v>9</v>
      </c>
      <c r="C9" s="15"/>
      <c r="D9" s="16"/>
      <c r="E9" s="13"/>
      <c r="F9" s="14"/>
      <c r="G9" s="16"/>
      <c r="H9" s="17"/>
    </row>
    <row r="10" spans="1:9" x14ac:dyDescent="0.25">
      <c r="A10" s="114" t="s">
        <v>158</v>
      </c>
      <c r="B10" s="94" t="s">
        <v>10</v>
      </c>
      <c r="C10" s="15" t="s">
        <v>11</v>
      </c>
      <c r="D10" s="16">
        <v>15000</v>
      </c>
      <c r="E10" s="13">
        <v>3</v>
      </c>
      <c r="F10" s="14">
        <v>23</v>
      </c>
      <c r="G10" s="16">
        <f>E10*D10*F10</f>
        <v>1035000</v>
      </c>
      <c r="H10" s="17"/>
    </row>
    <row r="11" spans="1:9" x14ac:dyDescent="0.25">
      <c r="A11" s="114" t="s">
        <v>159</v>
      </c>
      <c r="B11" s="94" t="s">
        <v>14</v>
      </c>
      <c r="C11" s="15" t="s">
        <v>15</v>
      </c>
      <c r="D11" s="16">
        <v>50000</v>
      </c>
      <c r="E11" s="13">
        <v>4</v>
      </c>
      <c r="F11" s="14">
        <v>24</v>
      </c>
      <c r="G11" s="16">
        <f>E11*D11*F11</f>
        <v>4800000</v>
      </c>
      <c r="H11" s="17"/>
    </row>
    <row r="12" spans="1:9" x14ac:dyDescent="0.25">
      <c r="A12" s="114" t="s">
        <v>160</v>
      </c>
      <c r="B12" s="94" t="s">
        <v>16</v>
      </c>
      <c r="C12" s="15" t="s">
        <v>17</v>
      </c>
      <c r="D12" s="16">
        <v>5600</v>
      </c>
      <c r="E12" s="13">
        <v>20</v>
      </c>
      <c r="F12" s="14">
        <v>24</v>
      </c>
      <c r="G12" s="16">
        <f>E12*D12*F12</f>
        <v>2688000</v>
      </c>
      <c r="H12" s="17"/>
    </row>
    <row r="13" spans="1:9" x14ac:dyDescent="0.25">
      <c r="A13" s="114" t="s">
        <v>161</v>
      </c>
      <c r="B13" s="94" t="s">
        <v>18</v>
      </c>
      <c r="C13" s="15" t="s">
        <v>15</v>
      </c>
      <c r="D13" s="16">
        <v>40000</v>
      </c>
      <c r="E13" s="13">
        <v>1</v>
      </c>
      <c r="F13" s="14">
        <v>4</v>
      </c>
      <c r="G13" s="16">
        <f>E13*D13*F13</f>
        <v>160000</v>
      </c>
      <c r="H13" s="49"/>
      <c r="I13" s="61"/>
    </row>
    <row r="14" spans="1:9" x14ac:dyDescent="0.25">
      <c r="A14" s="113"/>
      <c r="B14" s="95" t="s">
        <v>19</v>
      </c>
      <c r="C14" s="19"/>
      <c r="D14" s="20"/>
      <c r="E14" s="21"/>
      <c r="F14" s="18"/>
      <c r="G14" s="20">
        <f>SUM(G9:G13)</f>
        <v>8683000</v>
      </c>
      <c r="H14" s="17"/>
    </row>
    <row r="15" spans="1:9" x14ac:dyDescent="0.25">
      <c r="A15" s="113"/>
      <c r="B15" s="95"/>
      <c r="C15" s="19"/>
      <c r="D15" s="20"/>
      <c r="E15" s="21"/>
      <c r="F15" s="18"/>
      <c r="G15" s="20"/>
      <c r="H15" s="17"/>
    </row>
    <row r="16" spans="1:9" x14ac:dyDescent="0.25">
      <c r="A16" s="113"/>
      <c r="B16" s="96" t="s">
        <v>141</v>
      </c>
      <c r="C16" s="90"/>
      <c r="D16" s="90"/>
      <c r="E16" s="90"/>
      <c r="F16" s="90"/>
      <c r="G16" s="90"/>
      <c r="H16" s="17"/>
    </row>
    <row r="17" spans="1:9" x14ac:dyDescent="0.25">
      <c r="A17" s="114" t="s">
        <v>162</v>
      </c>
      <c r="B17" s="94" t="s">
        <v>9</v>
      </c>
      <c r="C17" s="19"/>
      <c r="D17" s="20"/>
      <c r="E17" s="21"/>
      <c r="F17" s="18"/>
      <c r="G17" s="20"/>
      <c r="H17" s="17"/>
    </row>
    <row r="18" spans="1:9" x14ac:dyDescent="0.25">
      <c r="A18" s="114" t="s">
        <v>163</v>
      </c>
      <c r="B18" s="94" t="s">
        <v>10</v>
      </c>
      <c r="C18" s="23" t="s">
        <v>11</v>
      </c>
      <c r="D18" s="16">
        <v>15000</v>
      </c>
      <c r="E18" s="13">
        <v>7</v>
      </c>
      <c r="F18" s="14">
        <v>12</v>
      </c>
      <c r="G18" s="16">
        <f t="shared" ref="G18:G22" si="0">D18*E18*F18</f>
        <v>1260000</v>
      </c>
      <c r="H18" s="17"/>
    </row>
    <row r="19" spans="1:9" ht="30" x14ac:dyDescent="0.25">
      <c r="A19" s="114" t="s">
        <v>164</v>
      </c>
      <c r="B19" s="94" t="s">
        <v>143</v>
      </c>
      <c r="C19" s="23" t="s">
        <v>20</v>
      </c>
      <c r="D19" s="16">
        <v>40000</v>
      </c>
      <c r="E19" s="13">
        <v>8</v>
      </c>
      <c r="F19" s="14">
        <v>12</v>
      </c>
      <c r="G19" s="16">
        <f t="shared" si="0"/>
        <v>3840000</v>
      </c>
      <c r="H19" s="17"/>
    </row>
    <row r="20" spans="1:9" x14ac:dyDescent="0.25">
      <c r="A20" s="114" t="s">
        <v>165</v>
      </c>
      <c r="B20" s="94" t="s">
        <v>16</v>
      </c>
      <c r="C20" s="23" t="s">
        <v>21</v>
      </c>
      <c r="D20" s="16">
        <v>5600</v>
      </c>
      <c r="E20" s="13">
        <v>20</v>
      </c>
      <c r="F20" s="14">
        <v>12</v>
      </c>
      <c r="G20" s="16">
        <f t="shared" si="0"/>
        <v>1344000</v>
      </c>
      <c r="H20" s="17"/>
    </row>
    <row r="21" spans="1:9" x14ac:dyDescent="0.25">
      <c r="A21" s="114" t="s">
        <v>166</v>
      </c>
      <c r="B21" s="94" t="s">
        <v>22</v>
      </c>
      <c r="C21" s="23" t="s">
        <v>20</v>
      </c>
      <c r="D21" s="16">
        <v>100000</v>
      </c>
      <c r="E21" s="13">
        <v>3</v>
      </c>
      <c r="F21" s="14">
        <v>6</v>
      </c>
      <c r="G21" s="16">
        <f t="shared" si="0"/>
        <v>1800000</v>
      </c>
      <c r="H21" s="17"/>
    </row>
    <row r="22" spans="1:9" x14ac:dyDescent="0.25">
      <c r="A22" s="114" t="s">
        <v>167</v>
      </c>
      <c r="B22" s="94" t="s">
        <v>18</v>
      </c>
      <c r="C22" s="23" t="s">
        <v>20</v>
      </c>
      <c r="D22" s="16">
        <v>40000</v>
      </c>
      <c r="E22" s="13">
        <v>1</v>
      </c>
      <c r="F22" s="14">
        <v>3</v>
      </c>
      <c r="G22" s="16">
        <f t="shared" si="0"/>
        <v>120000</v>
      </c>
      <c r="H22" s="17"/>
    </row>
    <row r="23" spans="1:9" x14ac:dyDescent="0.25">
      <c r="A23" s="113"/>
      <c r="B23" s="95" t="s">
        <v>23</v>
      </c>
      <c r="C23" s="19"/>
      <c r="D23" s="20"/>
      <c r="E23" s="21"/>
      <c r="F23" s="18"/>
      <c r="G23" s="20">
        <f>SUM(G17:G22)</f>
        <v>8364000</v>
      </c>
      <c r="H23" s="17"/>
      <c r="I23" s="59"/>
    </row>
    <row r="24" spans="1:9" x14ac:dyDescent="0.25">
      <c r="A24" s="113"/>
      <c r="B24" s="24"/>
      <c r="C24" s="25"/>
      <c r="D24" s="20"/>
      <c r="E24" s="21"/>
      <c r="F24" s="18"/>
      <c r="G24" s="20"/>
      <c r="H24" s="17"/>
    </row>
    <row r="25" spans="1:9" x14ac:dyDescent="0.25">
      <c r="A25" s="113"/>
      <c r="B25" s="95" t="s">
        <v>142</v>
      </c>
      <c r="C25" s="19"/>
      <c r="D25" s="26"/>
      <c r="E25" s="27"/>
      <c r="F25" s="24"/>
      <c r="G25" s="28"/>
      <c r="H25" s="17"/>
      <c r="I25" s="45"/>
    </row>
    <row r="26" spans="1:9" x14ac:dyDescent="0.25">
      <c r="A26" s="114" t="s">
        <v>168</v>
      </c>
      <c r="B26" s="94" t="s">
        <v>24</v>
      </c>
      <c r="C26" s="15" t="s">
        <v>20</v>
      </c>
      <c r="D26" s="40">
        <v>8000</v>
      </c>
      <c r="E26" s="40">
        <v>29</v>
      </c>
      <c r="F26" s="15">
        <v>2</v>
      </c>
      <c r="G26" s="16">
        <f>F26*E26*D26</f>
        <v>464000</v>
      </c>
      <c r="H26" s="17"/>
    </row>
    <row r="27" spans="1:9" x14ac:dyDescent="0.25">
      <c r="A27" s="114" t="s">
        <v>169</v>
      </c>
      <c r="B27" s="94" t="s">
        <v>25</v>
      </c>
      <c r="C27" s="23" t="s">
        <v>20</v>
      </c>
      <c r="D27" s="16">
        <v>20000</v>
      </c>
      <c r="E27" s="13">
        <v>29</v>
      </c>
      <c r="F27" s="14">
        <v>2</v>
      </c>
      <c r="G27" s="16">
        <f t="shared" ref="G27:G41" si="1">F27*E27*D27</f>
        <v>1160000</v>
      </c>
      <c r="H27" s="17"/>
    </row>
    <row r="28" spans="1:9" x14ac:dyDescent="0.25">
      <c r="A28" s="114" t="s">
        <v>170</v>
      </c>
      <c r="B28" s="94" t="s">
        <v>26</v>
      </c>
      <c r="C28" s="23" t="s">
        <v>20</v>
      </c>
      <c r="D28" s="16">
        <v>2000</v>
      </c>
      <c r="E28" s="13">
        <v>30</v>
      </c>
      <c r="F28" s="14">
        <v>4</v>
      </c>
      <c r="G28" s="16">
        <f t="shared" si="1"/>
        <v>240000</v>
      </c>
      <c r="H28" s="17"/>
    </row>
    <row r="29" spans="1:9" ht="45" x14ac:dyDescent="0.25">
      <c r="A29" s="114" t="s">
        <v>171</v>
      </c>
      <c r="B29" s="94" t="s">
        <v>27</v>
      </c>
      <c r="C29" s="23" t="s">
        <v>20</v>
      </c>
      <c r="D29" s="16">
        <v>40000</v>
      </c>
      <c r="E29" s="13">
        <v>26</v>
      </c>
      <c r="F29" s="14">
        <v>2</v>
      </c>
      <c r="G29" s="16">
        <f t="shared" si="1"/>
        <v>2080000</v>
      </c>
      <c r="H29" s="17"/>
    </row>
    <row r="30" spans="1:9" x14ac:dyDescent="0.25">
      <c r="A30" s="114" t="s">
        <v>172</v>
      </c>
      <c r="B30" s="94" t="s">
        <v>28</v>
      </c>
      <c r="C30" s="23" t="s">
        <v>20</v>
      </c>
      <c r="D30" s="16">
        <v>3000000</v>
      </c>
      <c r="E30" s="13">
        <v>1</v>
      </c>
      <c r="F30" s="14">
        <v>1</v>
      </c>
      <c r="G30" s="16">
        <f t="shared" si="1"/>
        <v>3000000</v>
      </c>
      <c r="H30" s="17"/>
    </row>
    <row r="31" spans="1:9" x14ac:dyDescent="0.25">
      <c r="A31" s="114" t="s">
        <v>173</v>
      </c>
      <c r="B31" s="94" t="s">
        <v>29</v>
      </c>
      <c r="C31" s="50" t="s">
        <v>30</v>
      </c>
      <c r="D31" s="16">
        <v>120000</v>
      </c>
      <c r="E31" s="13">
        <v>1</v>
      </c>
      <c r="F31" s="14">
        <v>2</v>
      </c>
      <c r="G31" s="16">
        <f t="shared" si="1"/>
        <v>240000</v>
      </c>
      <c r="H31" s="17"/>
    </row>
    <row r="32" spans="1:9" x14ac:dyDescent="0.25">
      <c r="A32" s="114" t="s">
        <v>174</v>
      </c>
      <c r="B32" s="94" t="s">
        <v>31</v>
      </c>
      <c r="C32" s="23" t="s">
        <v>32</v>
      </c>
      <c r="D32" s="16">
        <v>150000</v>
      </c>
      <c r="E32" s="13">
        <v>1</v>
      </c>
      <c r="F32" s="14">
        <v>2</v>
      </c>
      <c r="G32" s="16">
        <f t="shared" si="1"/>
        <v>300000</v>
      </c>
      <c r="H32" s="17"/>
    </row>
    <row r="33" spans="1:8" x14ac:dyDescent="0.25">
      <c r="A33" s="114" t="s">
        <v>175</v>
      </c>
      <c r="B33" s="94" t="s">
        <v>33</v>
      </c>
      <c r="C33" s="23" t="s">
        <v>34</v>
      </c>
      <c r="D33" s="16">
        <v>5000</v>
      </c>
      <c r="E33" s="13">
        <v>26</v>
      </c>
      <c r="F33" s="14">
        <v>1</v>
      </c>
      <c r="G33" s="16">
        <f t="shared" si="1"/>
        <v>130000</v>
      </c>
      <c r="H33" s="17"/>
    </row>
    <row r="34" spans="1:8" x14ac:dyDescent="0.25">
      <c r="A34" s="114" t="s">
        <v>176</v>
      </c>
      <c r="B34" s="94" t="s">
        <v>35</v>
      </c>
      <c r="C34" s="23" t="s">
        <v>13</v>
      </c>
      <c r="D34" s="16">
        <v>25000</v>
      </c>
      <c r="E34" s="13">
        <v>1</v>
      </c>
      <c r="F34" s="14">
        <v>1</v>
      </c>
      <c r="G34" s="16">
        <f t="shared" si="1"/>
        <v>25000</v>
      </c>
      <c r="H34" s="17"/>
    </row>
    <row r="35" spans="1:8" x14ac:dyDescent="0.25">
      <c r="A35" s="114" t="s">
        <v>177</v>
      </c>
      <c r="B35" s="94" t="s">
        <v>36</v>
      </c>
      <c r="C35" s="23" t="s">
        <v>13</v>
      </c>
      <c r="D35" s="16">
        <v>7000</v>
      </c>
      <c r="E35" s="13">
        <v>4</v>
      </c>
      <c r="F35" s="14">
        <v>1</v>
      </c>
      <c r="G35" s="16">
        <f t="shared" si="1"/>
        <v>28000</v>
      </c>
      <c r="H35" s="17"/>
    </row>
    <row r="36" spans="1:8" x14ac:dyDescent="0.25">
      <c r="A36" s="114" t="s">
        <v>178</v>
      </c>
      <c r="B36" s="94" t="s">
        <v>37</v>
      </c>
      <c r="C36" s="23" t="s">
        <v>38</v>
      </c>
      <c r="D36" s="16">
        <v>20000</v>
      </c>
      <c r="E36" s="13">
        <v>4</v>
      </c>
      <c r="F36" s="14">
        <v>1</v>
      </c>
      <c r="G36" s="16">
        <f t="shared" si="1"/>
        <v>80000</v>
      </c>
      <c r="H36" s="17"/>
    </row>
    <row r="37" spans="1:8" x14ac:dyDescent="0.25">
      <c r="A37" s="114" t="s">
        <v>179</v>
      </c>
      <c r="B37" s="94" t="s">
        <v>39</v>
      </c>
      <c r="C37" s="23" t="s">
        <v>34</v>
      </c>
      <c r="D37" s="16">
        <v>2000</v>
      </c>
      <c r="E37" s="13">
        <v>20</v>
      </c>
      <c r="F37" s="14">
        <v>1</v>
      </c>
      <c r="G37" s="16">
        <f t="shared" si="1"/>
        <v>40000</v>
      </c>
      <c r="H37" s="17"/>
    </row>
    <row r="38" spans="1:8" x14ac:dyDescent="0.25">
      <c r="A38" s="114" t="s">
        <v>180</v>
      </c>
      <c r="B38" s="94" t="s">
        <v>40</v>
      </c>
      <c r="C38" s="23" t="s">
        <v>41</v>
      </c>
      <c r="D38" s="16">
        <v>3000</v>
      </c>
      <c r="E38" s="13">
        <v>4</v>
      </c>
      <c r="F38" s="14">
        <v>1</v>
      </c>
      <c r="G38" s="16">
        <f t="shared" si="1"/>
        <v>12000</v>
      </c>
      <c r="H38" s="17"/>
    </row>
    <row r="39" spans="1:8" x14ac:dyDescent="0.25">
      <c r="A39" s="114" t="s">
        <v>181</v>
      </c>
      <c r="B39" s="94" t="s">
        <v>16</v>
      </c>
      <c r="C39" s="23" t="s">
        <v>42</v>
      </c>
      <c r="D39" s="16">
        <v>5600</v>
      </c>
      <c r="E39" s="13">
        <v>140</v>
      </c>
      <c r="F39" s="14">
        <v>1</v>
      </c>
      <c r="G39" s="16">
        <f t="shared" si="1"/>
        <v>784000</v>
      </c>
      <c r="H39" s="49"/>
    </row>
    <row r="40" spans="1:8" s="66" customFormat="1" x14ac:dyDescent="0.25">
      <c r="A40" s="114" t="s">
        <v>182</v>
      </c>
      <c r="B40" s="94" t="s">
        <v>22</v>
      </c>
      <c r="C40" s="23" t="s">
        <v>20</v>
      </c>
      <c r="D40" s="16">
        <v>100000</v>
      </c>
      <c r="E40" s="13">
        <v>3</v>
      </c>
      <c r="F40" s="14">
        <v>3</v>
      </c>
      <c r="G40" s="16">
        <f t="shared" si="1"/>
        <v>900000</v>
      </c>
      <c r="H40" s="17"/>
    </row>
    <row r="41" spans="1:8" x14ac:dyDescent="0.25">
      <c r="A41" s="114" t="s">
        <v>183</v>
      </c>
      <c r="B41" s="94" t="s">
        <v>18</v>
      </c>
      <c r="C41" s="23" t="s">
        <v>20</v>
      </c>
      <c r="D41" s="16">
        <v>50000</v>
      </c>
      <c r="E41" s="13">
        <v>1</v>
      </c>
      <c r="F41" s="14">
        <v>1</v>
      </c>
      <c r="G41" s="16">
        <f t="shared" si="1"/>
        <v>50000</v>
      </c>
      <c r="H41" s="17"/>
    </row>
    <row r="42" spans="1:8" x14ac:dyDescent="0.25">
      <c r="A42" s="114"/>
      <c r="B42" s="95" t="s">
        <v>43</v>
      </c>
      <c r="C42" s="19"/>
      <c r="D42" s="20"/>
      <c r="E42" s="21"/>
      <c r="F42" s="18"/>
      <c r="G42" s="20">
        <f>SUM(G26:G41)</f>
        <v>9533000</v>
      </c>
      <c r="H42" s="17"/>
    </row>
    <row r="43" spans="1:8" x14ac:dyDescent="0.25">
      <c r="A43" s="113"/>
      <c r="B43" s="51"/>
      <c r="C43" s="23"/>
      <c r="D43" s="16"/>
      <c r="E43" s="13"/>
      <c r="F43" s="14"/>
      <c r="G43" s="16"/>
      <c r="H43" s="17"/>
    </row>
    <row r="44" spans="1:8" ht="26.25" customHeight="1" x14ac:dyDescent="0.25">
      <c r="A44" s="113"/>
      <c r="B44" s="79" t="s">
        <v>144</v>
      </c>
      <c r="C44" s="79"/>
      <c r="D44" s="79"/>
      <c r="E44" s="79"/>
      <c r="F44" s="79"/>
      <c r="G44" s="79"/>
      <c r="H44" s="17"/>
    </row>
    <row r="45" spans="1:8" ht="45" x14ac:dyDescent="0.25">
      <c r="A45" s="114" t="s">
        <v>184</v>
      </c>
      <c r="B45" s="94" t="s">
        <v>44</v>
      </c>
      <c r="C45" s="23" t="s">
        <v>11</v>
      </c>
      <c r="D45" s="16">
        <v>12000</v>
      </c>
      <c r="E45" s="13">
        <v>14</v>
      </c>
      <c r="F45" s="14">
        <v>2</v>
      </c>
      <c r="G45" s="16">
        <f>D45*E45*F45</f>
        <v>336000</v>
      </c>
      <c r="H45" s="36" t="s">
        <v>45</v>
      </c>
    </row>
    <row r="46" spans="1:8" ht="45" x14ac:dyDescent="0.25">
      <c r="A46" s="114" t="s">
        <v>185</v>
      </c>
      <c r="B46" s="94" t="s">
        <v>46</v>
      </c>
      <c r="C46" s="23" t="s">
        <v>15</v>
      </c>
      <c r="D46" s="16">
        <v>40000</v>
      </c>
      <c r="E46" s="13">
        <v>16</v>
      </c>
      <c r="F46" s="14">
        <v>9</v>
      </c>
      <c r="G46" s="16">
        <f t="shared" ref="G46:G52" si="2">D46*E46*F46</f>
        <v>5760000</v>
      </c>
      <c r="H46" s="36" t="s">
        <v>47</v>
      </c>
    </row>
    <row r="47" spans="1:8" x14ac:dyDescent="0.25">
      <c r="A47" s="114" t="s">
        <v>186</v>
      </c>
      <c r="B47" s="94" t="s">
        <v>48</v>
      </c>
      <c r="C47" s="23" t="s">
        <v>11</v>
      </c>
      <c r="D47" s="16">
        <v>15000</v>
      </c>
      <c r="E47" s="13">
        <v>3</v>
      </c>
      <c r="F47" s="14">
        <v>2</v>
      </c>
      <c r="G47" s="16">
        <f t="shared" si="2"/>
        <v>90000</v>
      </c>
      <c r="H47" s="49"/>
    </row>
    <row r="48" spans="1:8" x14ac:dyDescent="0.25">
      <c r="A48" s="114" t="s">
        <v>187</v>
      </c>
      <c r="B48" s="94" t="s">
        <v>50</v>
      </c>
      <c r="C48" s="23" t="s">
        <v>51</v>
      </c>
      <c r="D48" s="16">
        <v>20000</v>
      </c>
      <c r="E48" s="13">
        <v>26</v>
      </c>
      <c r="F48" s="14">
        <v>2</v>
      </c>
      <c r="G48" s="16">
        <f t="shared" si="2"/>
        <v>1040000</v>
      </c>
      <c r="H48" s="52"/>
    </row>
    <row r="49" spans="1:9" x14ac:dyDescent="0.25">
      <c r="A49" s="114" t="s">
        <v>188</v>
      </c>
      <c r="B49" s="94" t="s">
        <v>52</v>
      </c>
      <c r="C49" s="23" t="s">
        <v>53</v>
      </c>
      <c r="D49" s="16">
        <v>500</v>
      </c>
      <c r="E49" s="13">
        <f>26*5</f>
        <v>130</v>
      </c>
      <c r="F49" s="14">
        <v>1</v>
      </c>
      <c r="G49" s="16">
        <f>D49*E49*F49</f>
        <v>65000</v>
      </c>
      <c r="H49" s="17"/>
    </row>
    <row r="50" spans="1:9" x14ac:dyDescent="0.25">
      <c r="A50" s="114" t="s">
        <v>189</v>
      </c>
      <c r="B50" s="94" t="s">
        <v>54</v>
      </c>
      <c r="C50" s="23" t="s">
        <v>42</v>
      </c>
      <c r="D50" s="16">
        <v>5600</v>
      </c>
      <c r="E50" s="13">
        <v>80</v>
      </c>
      <c r="F50" s="14">
        <v>1</v>
      </c>
      <c r="G50" s="16">
        <f t="shared" si="2"/>
        <v>448000</v>
      </c>
      <c r="H50" s="17"/>
    </row>
    <row r="51" spans="1:9" x14ac:dyDescent="0.25">
      <c r="A51" s="114" t="s">
        <v>190</v>
      </c>
      <c r="B51" s="94" t="s">
        <v>22</v>
      </c>
      <c r="C51" s="23" t="s">
        <v>15</v>
      </c>
      <c r="D51" s="16">
        <v>100000</v>
      </c>
      <c r="E51" s="13">
        <v>2</v>
      </c>
      <c r="F51" s="14">
        <v>3</v>
      </c>
      <c r="G51" s="16">
        <f t="shared" si="2"/>
        <v>600000</v>
      </c>
      <c r="H51" s="17"/>
    </row>
    <row r="52" spans="1:9" x14ac:dyDescent="0.25">
      <c r="A52" s="114" t="s">
        <v>191</v>
      </c>
      <c r="B52" s="94" t="s">
        <v>18</v>
      </c>
      <c r="C52" s="23" t="s">
        <v>51</v>
      </c>
      <c r="D52" s="16">
        <v>20000</v>
      </c>
      <c r="E52" s="13">
        <v>2</v>
      </c>
      <c r="F52" s="14">
        <v>1</v>
      </c>
      <c r="G52" s="16">
        <f t="shared" si="2"/>
        <v>40000</v>
      </c>
      <c r="H52" s="17"/>
    </row>
    <row r="53" spans="1:9" x14ac:dyDescent="0.25">
      <c r="A53" s="113"/>
      <c r="B53" s="95" t="s">
        <v>55</v>
      </c>
      <c r="C53" s="19"/>
      <c r="D53" s="20"/>
      <c r="E53" s="21"/>
      <c r="F53" s="18"/>
      <c r="G53" s="20">
        <f>SUM(G45:G52)</f>
        <v>8379000</v>
      </c>
      <c r="H53" s="17"/>
    </row>
    <row r="54" spans="1:9" x14ac:dyDescent="0.25">
      <c r="A54" s="113"/>
      <c r="B54" s="33"/>
      <c r="C54" s="19"/>
      <c r="D54" s="20"/>
      <c r="E54" s="21"/>
      <c r="F54" s="18"/>
      <c r="G54" s="20"/>
      <c r="H54" s="17"/>
    </row>
    <row r="55" spans="1:9" x14ac:dyDescent="0.25">
      <c r="A55" s="113"/>
      <c r="B55" s="98" t="s">
        <v>56</v>
      </c>
      <c r="C55" s="19"/>
      <c r="D55" s="20"/>
      <c r="E55" s="21"/>
      <c r="F55" s="18"/>
      <c r="G55" s="20">
        <f>G14+G23+G42+G53</f>
        <v>34959000</v>
      </c>
      <c r="H55" s="29"/>
    </row>
    <row r="56" spans="1:9" x14ac:dyDescent="0.25">
      <c r="A56" s="113"/>
      <c r="B56" s="98"/>
      <c r="C56" s="19"/>
      <c r="D56" s="20"/>
      <c r="E56" s="21"/>
      <c r="F56" s="18"/>
      <c r="G56" s="20"/>
      <c r="H56" s="29"/>
    </row>
    <row r="57" spans="1:9" x14ac:dyDescent="0.25">
      <c r="A57" s="113"/>
      <c r="B57" s="87" t="s">
        <v>145</v>
      </c>
      <c r="C57" s="87"/>
      <c r="D57" s="87"/>
      <c r="E57" s="87"/>
      <c r="F57" s="87"/>
      <c r="G57" s="87"/>
      <c r="H57" s="88"/>
    </row>
    <row r="58" spans="1:9" x14ac:dyDescent="0.25">
      <c r="A58" s="113"/>
      <c r="B58" s="79" t="s">
        <v>146</v>
      </c>
      <c r="C58" s="79"/>
      <c r="D58" s="79"/>
      <c r="E58" s="79"/>
      <c r="F58" s="79"/>
      <c r="G58" s="79"/>
      <c r="H58" s="80"/>
    </row>
    <row r="59" spans="1:9" ht="30" x14ac:dyDescent="0.25">
      <c r="A59" s="114" t="s">
        <v>192</v>
      </c>
      <c r="B59" s="94" t="s">
        <v>57</v>
      </c>
      <c r="C59" s="23"/>
      <c r="D59" s="16"/>
      <c r="E59" s="13"/>
      <c r="F59" s="14"/>
      <c r="G59" s="16"/>
      <c r="H59" s="17"/>
    </row>
    <row r="60" spans="1:9" x14ac:dyDescent="0.25">
      <c r="A60" s="114" t="s">
        <v>193</v>
      </c>
      <c r="B60" s="94" t="s">
        <v>10</v>
      </c>
      <c r="C60" s="23" t="s">
        <v>11</v>
      </c>
      <c r="D60" s="16">
        <v>12000</v>
      </c>
      <c r="E60" s="13">
        <v>7</v>
      </c>
      <c r="F60" s="14">
        <v>8</v>
      </c>
      <c r="G60" s="16">
        <f>D60*E60*F60</f>
        <v>672000</v>
      </c>
      <c r="H60" s="17"/>
    </row>
    <row r="61" spans="1:9" x14ac:dyDescent="0.25">
      <c r="A61" s="114" t="s">
        <v>194</v>
      </c>
      <c r="B61" s="94" t="s">
        <v>12</v>
      </c>
      <c r="C61" s="23" t="s">
        <v>11</v>
      </c>
      <c r="D61" s="16">
        <v>10000</v>
      </c>
      <c r="E61" s="13">
        <v>7</v>
      </c>
      <c r="F61" s="14">
        <v>8</v>
      </c>
      <c r="G61" s="16">
        <f>D61*E61*F61</f>
        <v>560000</v>
      </c>
      <c r="H61" s="17"/>
    </row>
    <row r="62" spans="1:9" x14ac:dyDescent="0.25">
      <c r="A62" s="114" t="s">
        <v>195</v>
      </c>
      <c r="B62" s="94" t="s">
        <v>58</v>
      </c>
      <c r="C62" s="23" t="s">
        <v>51</v>
      </c>
      <c r="D62" s="16">
        <v>50000</v>
      </c>
      <c r="E62" s="13">
        <v>1</v>
      </c>
      <c r="F62" s="14">
        <v>1</v>
      </c>
      <c r="G62" s="16">
        <f>D62*E62*F62</f>
        <v>50000</v>
      </c>
      <c r="H62" s="17"/>
    </row>
    <row r="63" spans="1:9" x14ac:dyDescent="0.25">
      <c r="A63" s="113"/>
      <c r="B63" s="97" t="s">
        <v>59</v>
      </c>
      <c r="C63" s="19"/>
      <c r="D63" s="20"/>
      <c r="E63" s="21"/>
      <c r="F63" s="18"/>
      <c r="G63" s="20">
        <f>SUM(G59:G62)</f>
        <v>1282000</v>
      </c>
      <c r="H63" s="29"/>
      <c r="I63" s="59"/>
    </row>
    <row r="64" spans="1:9" x14ac:dyDescent="0.25">
      <c r="A64" s="113"/>
      <c r="B64" s="98"/>
      <c r="C64" s="30"/>
      <c r="D64" s="31"/>
      <c r="E64" s="32"/>
      <c r="F64" s="33"/>
      <c r="G64" s="31"/>
      <c r="H64" s="34"/>
    </row>
    <row r="65" spans="1:9" x14ac:dyDescent="0.25">
      <c r="A65" s="113"/>
      <c r="B65" s="79" t="s">
        <v>147</v>
      </c>
      <c r="C65" s="79"/>
      <c r="D65" s="79"/>
      <c r="E65" s="79"/>
      <c r="F65" s="79"/>
      <c r="G65" s="79"/>
      <c r="H65" s="80"/>
    </row>
    <row r="66" spans="1:9" ht="30" x14ac:dyDescent="0.25">
      <c r="A66" s="114" t="s">
        <v>196</v>
      </c>
      <c r="B66" s="99" t="s">
        <v>60</v>
      </c>
      <c r="C66" s="15" t="s">
        <v>61</v>
      </c>
      <c r="D66" s="40">
        <v>3000000</v>
      </c>
      <c r="E66" s="40">
        <v>1</v>
      </c>
      <c r="F66" s="35">
        <v>1</v>
      </c>
      <c r="G66" s="40">
        <f t="shared" ref="G66:G78" si="3">F66*E66*D66</f>
        <v>3000000</v>
      </c>
      <c r="H66" s="49"/>
    </row>
    <row r="67" spans="1:9" x14ac:dyDescent="0.25">
      <c r="A67" s="114" t="s">
        <v>197</v>
      </c>
      <c r="B67" s="99" t="s">
        <v>10</v>
      </c>
      <c r="C67" s="15" t="s">
        <v>11</v>
      </c>
      <c r="D67" s="40">
        <v>12000</v>
      </c>
      <c r="E67" s="40">
        <v>3</v>
      </c>
      <c r="F67" s="35">
        <f>2*4</f>
        <v>8</v>
      </c>
      <c r="G67" s="40">
        <f t="shared" si="3"/>
        <v>288000</v>
      </c>
      <c r="H67" s="49"/>
    </row>
    <row r="68" spans="1:9" x14ac:dyDescent="0.25">
      <c r="A68" s="114" t="s">
        <v>198</v>
      </c>
      <c r="B68" s="99" t="s">
        <v>12</v>
      </c>
      <c r="C68" s="15" t="s">
        <v>13</v>
      </c>
      <c r="D68" s="40">
        <v>30000</v>
      </c>
      <c r="E68" s="40">
        <v>1</v>
      </c>
      <c r="F68" s="35">
        <f>2*2</f>
        <v>4</v>
      </c>
      <c r="G68" s="40">
        <f t="shared" si="3"/>
        <v>120000</v>
      </c>
      <c r="H68" s="49"/>
    </row>
    <row r="69" spans="1:9" ht="30" x14ac:dyDescent="0.25">
      <c r="A69" s="114" t="s">
        <v>199</v>
      </c>
      <c r="B69" s="99" t="s">
        <v>62</v>
      </c>
      <c r="C69" s="15" t="s">
        <v>15</v>
      </c>
      <c r="D69" s="40">
        <v>20000</v>
      </c>
      <c r="E69" s="40">
        <v>20</v>
      </c>
      <c r="F69" s="35">
        <v>8</v>
      </c>
      <c r="G69" s="40">
        <f t="shared" si="3"/>
        <v>3200000</v>
      </c>
      <c r="H69" s="49"/>
    </row>
    <row r="70" spans="1:9" x14ac:dyDescent="0.25">
      <c r="A70" s="114" t="s">
        <v>200</v>
      </c>
      <c r="B70" s="99" t="s">
        <v>63</v>
      </c>
      <c r="C70" s="15" t="s">
        <v>64</v>
      </c>
      <c r="D70" s="40">
        <v>2000</v>
      </c>
      <c r="E70" s="40">
        <v>15</v>
      </c>
      <c r="F70" s="35">
        <v>1</v>
      </c>
      <c r="G70" s="40">
        <f t="shared" si="3"/>
        <v>30000</v>
      </c>
      <c r="H70" s="49"/>
    </row>
    <row r="71" spans="1:9" x14ac:dyDescent="0.25">
      <c r="A71" s="114" t="s">
        <v>201</v>
      </c>
      <c r="B71" s="99" t="s">
        <v>25</v>
      </c>
      <c r="C71" s="15" t="s">
        <v>15</v>
      </c>
      <c r="D71" s="40">
        <v>20000</v>
      </c>
      <c r="E71" s="40">
        <v>15</v>
      </c>
      <c r="F71" s="35">
        <v>1</v>
      </c>
      <c r="G71" s="40">
        <f t="shared" si="3"/>
        <v>300000</v>
      </c>
      <c r="H71" s="49"/>
    </row>
    <row r="72" spans="1:9" ht="30" x14ac:dyDescent="0.25">
      <c r="A72" s="114" t="s">
        <v>202</v>
      </c>
      <c r="B72" s="99" t="s">
        <v>65</v>
      </c>
      <c r="C72" s="15" t="s">
        <v>15</v>
      </c>
      <c r="D72" s="40">
        <v>30000</v>
      </c>
      <c r="E72" s="40">
        <v>19</v>
      </c>
      <c r="F72" s="35">
        <v>2</v>
      </c>
      <c r="G72" s="40">
        <f t="shared" si="3"/>
        <v>1140000</v>
      </c>
      <c r="H72" s="36" t="s">
        <v>66</v>
      </c>
    </row>
    <row r="73" spans="1:9" ht="30" x14ac:dyDescent="0.25">
      <c r="A73" s="114" t="s">
        <v>203</v>
      </c>
      <c r="B73" s="99" t="s">
        <v>25</v>
      </c>
      <c r="C73" s="15" t="s">
        <v>15</v>
      </c>
      <c r="D73" s="40">
        <v>20000</v>
      </c>
      <c r="E73" s="40">
        <v>19</v>
      </c>
      <c r="F73" s="35">
        <v>2</v>
      </c>
      <c r="G73" s="40">
        <f t="shared" si="3"/>
        <v>760000</v>
      </c>
      <c r="H73" s="36" t="s">
        <v>67</v>
      </c>
      <c r="I73" s="58"/>
    </row>
    <row r="74" spans="1:9" x14ac:dyDescent="0.25">
      <c r="A74" s="114" t="s">
        <v>204</v>
      </c>
      <c r="B74" s="99" t="s">
        <v>10</v>
      </c>
      <c r="C74" s="15" t="s">
        <v>137</v>
      </c>
      <c r="D74" s="40">
        <v>12000</v>
      </c>
      <c r="E74" s="40">
        <v>10</v>
      </c>
      <c r="F74" s="35">
        <v>5</v>
      </c>
      <c r="G74" s="40">
        <f t="shared" si="3"/>
        <v>600000</v>
      </c>
      <c r="H74" s="49"/>
    </row>
    <row r="75" spans="1:9" x14ac:dyDescent="0.25">
      <c r="A75" s="114" t="s">
        <v>205</v>
      </c>
      <c r="B75" s="99" t="s">
        <v>68</v>
      </c>
      <c r="C75" s="15" t="s">
        <v>15</v>
      </c>
      <c r="D75" s="40">
        <v>20000</v>
      </c>
      <c r="E75" s="40">
        <v>20</v>
      </c>
      <c r="F75" s="35">
        <v>5</v>
      </c>
      <c r="G75" s="40">
        <f>F75*E75*D75</f>
        <v>2000000</v>
      </c>
      <c r="H75" s="49"/>
    </row>
    <row r="76" spans="1:9" x14ac:dyDescent="0.25">
      <c r="A76" s="114" t="s">
        <v>206</v>
      </c>
      <c r="B76" s="99" t="s">
        <v>10</v>
      </c>
      <c r="C76" s="15" t="s">
        <v>11</v>
      </c>
      <c r="D76" s="40">
        <v>12000</v>
      </c>
      <c r="E76" s="40">
        <v>10</v>
      </c>
      <c r="F76" s="35">
        <v>4</v>
      </c>
      <c r="G76" s="40">
        <f t="shared" si="3"/>
        <v>480000</v>
      </c>
      <c r="H76" s="49"/>
    </row>
    <row r="77" spans="1:9" x14ac:dyDescent="0.25">
      <c r="A77" s="114" t="s">
        <v>207</v>
      </c>
      <c r="B77" s="99" t="s">
        <v>12</v>
      </c>
      <c r="C77" s="15" t="s">
        <v>13</v>
      </c>
      <c r="D77" s="40">
        <v>30000</v>
      </c>
      <c r="E77" s="40">
        <v>1</v>
      </c>
      <c r="F77" s="35">
        <v>4</v>
      </c>
      <c r="G77" s="40">
        <f t="shared" si="3"/>
        <v>120000</v>
      </c>
      <c r="H77" s="49"/>
    </row>
    <row r="78" spans="1:9" x14ac:dyDescent="0.25">
      <c r="A78" s="114" t="s">
        <v>208</v>
      </c>
      <c r="B78" s="99" t="s">
        <v>69</v>
      </c>
      <c r="C78" s="15" t="s">
        <v>15</v>
      </c>
      <c r="D78" s="40">
        <v>20000</v>
      </c>
      <c r="E78" s="40">
        <v>20</v>
      </c>
      <c r="F78" s="35">
        <v>4</v>
      </c>
      <c r="G78" s="40">
        <f t="shared" si="3"/>
        <v>1600000</v>
      </c>
      <c r="H78" s="49"/>
    </row>
    <row r="79" spans="1:9" x14ac:dyDescent="0.25">
      <c r="A79" s="113"/>
      <c r="B79" s="97" t="s">
        <v>70</v>
      </c>
      <c r="C79" s="19"/>
      <c r="D79" s="20"/>
      <c r="E79" s="21"/>
      <c r="F79" s="18"/>
      <c r="G79" s="20">
        <f>SUM(G66:G78)</f>
        <v>13638000</v>
      </c>
      <c r="H79" s="29"/>
    </row>
    <row r="80" spans="1:9" x14ac:dyDescent="0.25">
      <c r="A80" s="113"/>
      <c r="B80" s="97"/>
      <c r="C80" s="19"/>
      <c r="D80" s="20"/>
      <c r="E80" s="21"/>
      <c r="F80" s="18"/>
      <c r="G80" s="20"/>
      <c r="H80" s="29"/>
    </row>
    <row r="81" spans="1:9" ht="15" customHeight="1" x14ac:dyDescent="0.25">
      <c r="A81" s="113"/>
      <c r="B81" s="79" t="s">
        <v>209</v>
      </c>
      <c r="C81" s="79"/>
      <c r="D81" s="79"/>
      <c r="E81" s="79"/>
      <c r="F81" s="79"/>
      <c r="G81" s="79"/>
      <c r="H81" s="80"/>
    </row>
    <row r="82" spans="1:9" x14ac:dyDescent="0.25">
      <c r="A82" s="113" t="s">
        <v>210</v>
      </c>
      <c r="B82" s="99" t="s">
        <v>24</v>
      </c>
      <c r="C82" s="23" t="s">
        <v>20</v>
      </c>
      <c r="D82" s="16">
        <v>8000</v>
      </c>
      <c r="E82" s="13">
        <v>25</v>
      </c>
      <c r="F82" s="14">
        <v>2</v>
      </c>
      <c r="G82" s="16">
        <f>D82*E82*F82</f>
        <v>400000</v>
      </c>
      <c r="H82" s="49"/>
      <c r="I82" s="45"/>
    </row>
    <row r="83" spans="1:9" x14ac:dyDescent="0.25">
      <c r="A83" s="113" t="s">
        <v>211</v>
      </c>
      <c r="B83" s="94" t="s">
        <v>26</v>
      </c>
      <c r="C83" s="23" t="s">
        <v>64</v>
      </c>
      <c r="D83" s="16">
        <v>2000</v>
      </c>
      <c r="E83" s="13">
        <v>25</v>
      </c>
      <c r="F83" s="14">
        <v>2</v>
      </c>
      <c r="G83" s="16">
        <f t="shared" ref="G83:G90" si="4">D83*E83*F83</f>
        <v>100000</v>
      </c>
      <c r="H83" s="17"/>
    </row>
    <row r="84" spans="1:9" x14ac:dyDescent="0.25">
      <c r="A84" s="113" t="s">
        <v>212</v>
      </c>
      <c r="B84" s="100" t="s">
        <v>75</v>
      </c>
      <c r="C84" s="23" t="s">
        <v>15</v>
      </c>
      <c r="D84" s="16">
        <v>30000</v>
      </c>
      <c r="E84" s="13">
        <v>20</v>
      </c>
      <c r="F84" s="14">
        <v>2</v>
      </c>
      <c r="G84" s="16">
        <f t="shared" si="4"/>
        <v>1200000</v>
      </c>
      <c r="H84" s="17"/>
    </row>
    <row r="85" spans="1:9" x14ac:dyDescent="0.25">
      <c r="A85" s="113" t="s">
        <v>213</v>
      </c>
      <c r="B85" s="100" t="s">
        <v>76</v>
      </c>
      <c r="C85" s="23" t="s">
        <v>41</v>
      </c>
      <c r="D85" s="16">
        <v>20000</v>
      </c>
      <c r="E85" s="13">
        <v>1</v>
      </c>
      <c r="F85" s="14">
        <v>2</v>
      </c>
      <c r="G85" s="16">
        <f t="shared" si="4"/>
        <v>40000</v>
      </c>
      <c r="H85" s="17"/>
    </row>
    <row r="86" spans="1:9" x14ac:dyDescent="0.25">
      <c r="A86" s="113" t="s">
        <v>214</v>
      </c>
      <c r="B86" s="100" t="s">
        <v>36</v>
      </c>
      <c r="C86" s="23" t="s">
        <v>73</v>
      </c>
      <c r="D86" s="16">
        <v>7000</v>
      </c>
      <c r="E86" s="13">
        <v>1</v>
      </c>
      <c r="F86" s="14">
        <v>2</v>
      </c>
      <c r="G86" s="16">
        <f t="shared" si="4"/>
        <v>14000</v>
      </c>
      <c r="H86" s="17"/>
    </row>
    <row r="87" spans="1:9" x14ac:dyDescent="0.25">
      <c r="A87" s="113" t="s">
        <v>215</v>
      </c>
      <c r="B87" s="100" t="s">
        <v>72</v>
      </c>
      <c r="C87" s="23" t="s">
        <v>30</v>
      </c>
      <c r="D87" s="16">
        <v>30000</v>
      </c>
      <c r="E87" s="13">
        <v>1</v>
      </c>
      <c r="F87" s="14">
        <v>2</v>
      </c>
      <c r="G87" s="16">
        <f t="shared" si="4"/>
        <v>60000</v>
      </c>
      <c r="H87" s="36"/>
    </row>
    <row r="88" spans="1:9" x14ac:dyDescent="0.25">
      <c r="A88" s="113" t="s">
        <v>216</v>
      </c>
      <c r="B88" s="100" t="s">
        <v>77</v>
      </c>
      <c r="C88" s="23" t="s">
        <v>42</v>
      </c>
      <c r="D88" s="16">
        <v>5600</v>
      </c>
      <c r="E88" s="13">
        <v>80</v>
      </c>
      <c r="F88" s="14">
        <v>1</v>
      </c>
      <c r="G88" s="16">
        <f t="shared" si="4"/>
        <v>448000</v>
      </c>
      <c r="H88" s="17"/>
    </row>
    <row r="89" spans="1:9" x14ac:dyDescent="0.25">
      <c r="A89" s="113" t="s">
        <v>217</v>
      </c>
      <c r="B89" s="100" t="s">
        <v>74</v>
      </c>
      <c r="C89" s="23" t="s">
        <v>15</v>
      </c>
      <c r="D89" s="16">
        <v>100000</v>
      </c>
      <c r="E89" s="13">
        <v>2</v>
      </c>
      <c r="F89" s="14">
        <v>1</v>
      </c>
      <c r="G89" s="16">
        <f t="shared" si="4"/>
        <v>200000</v>
      </c>
      <c r="H89" s="17"/>
    </row>
    <row r="90" spans="1:9" x14ac:dyDescent="0.25">
      <c r="A90" s="113" t="s">
        <v>218</v>
      </c>
      <c r="B90" s="100" t="s">
        <v>78</v>
      </c>
      <c r="C90" s="23" t="s">
        <v>51</v>
      </c>
      <c r="D90" s="16">
        <v>20000</v>
      </c>
      <c r="E90" s="13">
        <v>1</v>
      </c>
      <c r="F90" s="14">
        <v>1</v>
      </c>
      <c r="G90" s="16">
        <f t="shared" si="4"/>
        <v>20000</v>
      </c>
      <c r="H90" s="17"/>
    </row>
    <row r="91" spans="1:9" x14ac:dyDescent="0.25">
      <c r="A91" s="113"/>
      <c r="B91" s="95" t="s">
        <v>79</v>
      </c>
      <c r="C91" s="23"/>
      <c r="D91" s="16"/>
      <c r="E91" s="13"/>
      <c r="F91" s="14"/>
      <c r="G91" s="22">
        <f>SUM(G82:G90)</f>
        <v>2482000</v>
      </c>
      <c r="H91" s="17"/>
    </row>
    <row r="92" spans="1:9" x14ac:dyDescent="0.25">
      <c r="A92" s="113"/>
      <c r="B92" s="95" t="s">
        <v>80</v>
      </c>
      <c r="C92" s="19"/>
      <c r="D92" s="20"/>
      <c r="E92" s="21"/>
      <c r="F92" s="18"/>
      <c r="G92" s="22"/>
      <c r="H92" s="29"/>
    </row>
    <row r="93" spans="1:9" x14ac:dyDescent="0.25">
      <c r="A93" s="113"/>
      <c r="B93" s="95"/>
      <c r="C93" s="19"/>
      <c r="D93" s="20"/>
      <c r="E93" s="21"/>
      <c r="F93" s="18"/>
      <c r="G93" s="20"/>
      <c r="H93" s="29"/>
    </row>
    <row r="94" spans="1:9" x14ac:dyDescent="0.25">
      <c r="A94" s="113"/>
      <c r="B94" s="95" t="s">
        <v>81</v>
      </c>
      <c r="C94" s="19"/>
      <c r="D94" s="20"/>
      <c r="E94" s="21"/>
      <c r="F94" s="18"/>
      <c r="G94" s="20">
        <f>G63+G79+G91</f>
        <v>17402000</v>
      </c>
      <c r="H94" s="29"/>
    </row>
    <row r="95" spans="1:9" x14ac:dyDescent="0.25">
      <c r="A95" s="113"/>
      <c r="B95" s="95"/>
      <c r="C95" s="19"/>
      <c r="D95" s="20"/>
      <c r="E95" s="21"/>
      <c r="F95" s="18"/>
      <c r="G95" s="20"/>
      <c r="H95" s="29"/>
    </row>
    <row r="96" spans="1:9" x14ac:dyDescent="0.25">
      <c r="A96" s="113"/>
      <c r="B96" s="87" t="s">
        <v>148</v>
      </c>
      <c r="C96" s="87"/>
      <c r="D96" s="87"/>
      <c r="E96" s="87"/>
      <c r="F96" s="87"/>
      <c r="G96" s="87"/>
      <c r="H96" s="88"/>
    </row>
    <row r="97" spans="1:9" x14ac:dyDescent="0.25">
      <c r="A97" s="113"/>
      <c r="B97" s="79" t="s">
        <v>149</v>
      </c>
      <c r="C97" s="79"/>
      <c r="D97" s="79"/>
      <c r="E97" s="79"/>
      <c r="F97" s="79"/>
      <c r="G97" s="79"/>
      <c r="H97" s="80"/>
    </row>
    <row r="98" spans="1:9" ht="60" x14ac:dyDescent="0.25">
      <c r="A98" s="114" t="s">
        <v>219</v>
      </c>
      <c r="B98" s="94" t="s">
        <v>82</v>
      </c>
      <c r="C98" s="14" t="s">
        <v>20</v>
      </c>
      <c r="D98" s="17">
        <v>1200000</v>
      </c>
      <c r="E98" s="14">
        <v>2</v>
      </c>
      <c r="F98" s="14">
        <v>1</v>
      </c>
      <c r="G98" s="17">
        <f>D98*E98*F98</f>
        <v>2400000</v>
      </c>
      <c r="H98" s="36" t="s">
        <v>83</v>
      </c>
    </row>
    <row r="99" spans="1:9" ht="45" x14ac:dyDescent="0.25">
      <c r="A99" s="114" t="s">
        <v>220</v>
      </c>
      <c r="B99" s="100" t="s">
        <v>71</v>
      </c>
      <c r="C99" s="14" t="s">
        <v>20</v>
      </c>
      <c r="D99" s="17">
        <v>8000</v>
      </c>
      <c r="E99" s="14">
        <v>42</v>
      </c>
      <c r="F99" s="14">
        <v>2</v>
      </c>
      <c r="G99" s="17">
        <f>D99*E99*F99</f>
        <v>672000</v>
      </c>
      <c r="H99" s="36" t="s">
        <v>84</v>
      </c>
    </row>
    <row r="100" spans="1:9" x14ac:dyDescent="0.25">
      <c r="A100" s="114" t="s">
        <v>221</v>
      </c>
      <c r="B100" s="100" t="s">
        <v>25</v>
      </c>
      <c r="C100" s="14" t="s">
        <v>20</v>
      </c>
      <c r="D100" s="17">
        <v>20000</v>
      </c>
      <c r="E100" s="14">
        <v>42</v>
      </c>
      <c r="F100" s="14">
        <v>2</v>
      </c>
      <c r="G100" s="17">
        <f t="shared" ref="G100:G113" si="5">D100*E100*F100</f>
        <v>1680000</v>
      </c>
      <c r="H100" s="29"/>
    </row>
    <row r="101" spans="1:9" x14ac:dyDescent="0.25">
      <c r="A101" s="114" t="s">
        <v>222</v>
      </c>
      <c r="B101" s="101" t="s">
        <v>85</v>
      </c>
      <c r="C101" s="14" t="s">
        <v>20</v>
      </c>
      <c r="D101" s="17">
        <v>2000</v>
      </c>
      <c r="E101" s="14">
        <v>42</v>
      </c>
      <c r="F101" s="14">
        <f>2*2</f>
        <v>4</v>
      </c>
      <c r="G101" s="17">
        <f t="shared" si="5"/>
        <v>336000</v>
      </c>
      <c r="H101" s="29"/>
      <c r="I101" s="45"/>
    </row>
    <row r="102" spans="1:9" x14ac:dyDescent="0.25">
      <c r="A102" s="114" t="s">
        <v>223</v>
      </c>
      <c r="B102" s="100" t="s">
        <v>86</v>
      </c>
      <c r="C102" s="14" t="s">
        <v>87</v>
      </c>
      <c r="D102" s="17">
        <v>120000</v>
      </c>
      <c r="E102" s="14">
        <v>1</v>
      </c>
      <c r="F102" s="14">
        <v>2</v>
      </c>
      <c r="G102" s="17">
        <f t="shared" si="5"/>
        <v>240000</v>
      </c>
      <c r="H102" s="29"/>
    </row>
    <row r="103" spans="1:9" x14ac:dyDescent="0.25">
      <c r="A103" s="114" t="s">
        <v>224</v>
      </c>
      <c r="B103" s="100" t="s">
        <v>88</v>
      </c>
      <c r="C103" s="14" t="s">
        <v>87</v>
      </c>
      <c r="D103" s="17">
        <v>150000</v>
      </c>
      <c r="E103" s="14">
        <v>1</v>
      </c>
      <c r="F103" s="14">
        <v>2</v>
      </c>
      <c r="G103" s="17">
        <f t="shared" si="5"/>
        <v>300000</v>
      </c>
      <c r="H103" s="29"/>
    </row>
    <row r="104" spans="1:9" ht="30" x14ac:dyDescent="0.25">
      <c r="A104" s="114" t="s">
        <v>225</v>
      </c>
      <c r="B104" s="94" t="s">
        <v>89</v>
      </c>
      <c r="C104" s="14" t="s">
        <v>20</v>
      </c>
      <c r="D104" s="17">
        <v>30000</v>
      </c>
      <c r="E104" s="14">
        <v>42</v>
      </c>
      <c r="F104" s="14">
        <v>2</v>
      </c>
      <c r="G104" s="17">
        <f t="shared" si="5"/>
        <v>2520000</v>
      </c>
      <c r="H104" s="29"/>
    </row>
    <row r="105" spans="1:9" x14ac:dyDescent="0.25">
      <c r="A105" s="114" t="s">
        <v>226</v>
      </c>
      <c r="B105" s="100" t="s">
        <v>90</v>
      </c>
      <c r="C105" s="14" t="s">
        <v>91</v>
      </c>
      <c r="D105" s="17">
        <v>50000</v>
      </c>
      <c r="E105" s="14">
        <v>2</v>
      </c>
      <c r="F105" s="14">
        <v>1</v>
      </c>
      <c r="G105" s="17">
        <f t="shared" si="5"/>
        <v>100000</v>
      </c>
      <c r="H105" s="29"/>
    </row>
    <row r="106" spans="1:9" x14ac:dyDescent="0.25">
      <c r="A106" s="114" t="s">
        <v>227</v>
      </c>
      <c r="B106" s="100" t="s">
        <v>92</v>
      </c>
      <c r="C106" s="14" t="s">
        <v>93</v>
      </c>
      <c r="D106" s="17">
        <v>5600</v>
      </c>
      <c r="E106" s="14">
        <v>80</v>
      </c>
      <c r="F106" s="14">
        <v>1</v>
      </c>
      <c r="G106" s="17">
        <f t="shared" si="5"/>
        <v>448000</v>
      </c>
      <c r="H106" s="29"/>
    </row>
    <row r="107" spans="1:9" x14ac:dyDescent="0.25">
      <c r="A107" s="114" t="s">
        <v>228</v>
      </c>
      <c r="B107" s="100" t="s">
        <v>94</v>
      </c>
      <c r="C107" s="14" t="s">
        <v>20</v>
      </c>
      <c r="D107" s="54">
        <v>100000</v>
      </c>
      <c r="E107" s="14">
        <v>2</v>
      </c>
      <c r="F107" s="14">
        <v>2</v>
      </c>
      <c r="G107" s="17">
        <f t="shared" si="5"/>
        <v>400000</v>
      </c>
      <c r="H107" s="29"/>
    </row>
    <row r="108" spans="1:9" x14ac:dyDescent="0.25">
      <c r="A108" s="114" t="s">
        <v>229</v>
      </c>
      <c r="B108" s="100" t="s">
        <v>95</v>
      </c>
      <c r="C108" s="14" t="s">
        <v>87</v>
      </c>
      <c r="D108" s="17">
        <v>20000</v>
      </c>
      <c r="E108" s="14">
        <v>2</v>
      </c>
      <c r="F108" s="14">
        <v>1</v>
      </c>
      <c r="G108" s="17">
        <f t="shared" si="5"/>
        <v>40000</v>
      </c>
      <c r="H108" s="29"/>
    </row>
    <row r="109" spans="1:9" x14ac:dyDescent="0.25">
      <c r="A109" s="114" t="s">
        <v>230</v>
      </c>
      <c r="B109" s="100" t="s">
        <v>96</v>
      </c>
      <c r="C109" s="14" t="s">
        <v>87</v>
      </c>
      <c r="D109" s="17">
        <v>7000</v>
      </c>
      <c r="E109" s="14">
        <v>2</v>
      </c>
      <c r="F109" s="14">
        <v>1</v>
      </c>
      <c r="G109" s="17">
        <f t="shared" si="5"/>
        <v>14000</v>
      </c>
      <c r="H109" s="29"/>
    </row>
    <row r="110" spans="1:9" x14ac:dyDescent="0.25">
      <c r="A110" s="114" t="s">
        <v>231</v>
      </c>
      <c r="B110" s="100" t="s">
        <v>97</v>
      </c>
      <c r="C110" s="14" t="s">
        <v>87</v>
      </c>
      <c r="D110" s="17">
        <v>5000</v>
      </c>
      <c r="E110" s="14">
        <v>40</v>
      </c>
      <c r="F110" s="14">
        <v>1</v>
      </c>
      <c r="G110" s="17">
        <f t="shared" si="5"/>
        <v>200000</v>
      </c>
      <c r="H110" s="29"/>
    </row>
    <row r="111" spans="1:9" x14ac:dyDescent="0.25">
      <c r="A111" s="114" t="s">
        <v>232</v>
      </c>
      <c r="B111" s="100" t="s">
        <v>35</v>
      </c>
      <c r="C111" s="14" t="s">
        <v>49</v>
      </c>
      <c r="D111" s="17">
        <v>25000</v>
      </c>
      <c r="E111" s="14">
        <v>2</v>
      </c>
      <c r="F111" s="14">
        <v>1</v>
      </c>
      <c r="G111" s="17">
        <f t="shared" si="5"/>
        <v>50000</v>
      </c>
      <c r="H111" s="29"/>
    </row>
    <row r="112" spans="1:9" x14ac:dyDescent="0.25">
      <c r="A112" s="114" t="s">
        <v>233</v>
      </c>
      <c r="B112" s="100" t="s">
        <v>98</v>
      </c>
      <c r="C112" s="14" t="s">
        <v>87</v>
      </c>
      <c r="D112" s="17">
        <v>2000</v>
      </c>
      <c r="E112" s="14">
        <v>4</v>
      </c>
      <c r="F112" s="14">
        <v>1</v>
      </c>
      <c r="G112" s="17">
        <f t="shared" si="5"/>
        <v>8000</v>
      </c>
      <c r="H112" s="29"/>
    </row>
    <row r="113" spans="1:9" x14ac:dyDescent="0.25">
      <c r="A113" s="114" t="s">
        <v>234</v>
      </c>
      <c r="B113" s="100" t="s">
        <v>99</v>
      </c>
      <c r="C113" s="14" t="s">
        <v>87</v>
      </c>
      <c r="D113" s="17">
        <v>3000</v>
      </c>
      <c r="E113" s="14">
        <v>2</v>
      </c>
      <c r="F113" s="14">
        <v>1</v>
      </c>
      <c r="G113" s="17">
        <f t="shared" si="5"/>
        <v>6000</v>
      </c>
      <c r="H113" s="29"/>
    </row>
    <row r="114" spans="1:9" x14ac:dyDescent="0.25">
      <c r="A114" s="113"/>
      <c r="B114" s="95" t="s">
        <v>100</v>
      </c>
      <c r="C114" s="18"/>
      <c r="D114" s="37"/>
      <c r="E114" s="18"/>
      <c r="F114" s="18"/>
      <c r="G114" s="37">
        <f>SUM(G98:G113)</f>
        <v>9414000</v>
      </c>
      <c r="H114" s="29"/>
    </row>
    <row r="115" spans="1:9" x14ac:dyDescent="0.25">
      <c r="A115" s="113"/>
      <c r="B115" s="97"/>
      <c r="C115" s="18"/>
      <c r="D115" s="29"/>
      <c r="E115" s="18"/>
      <c r="F115" s="18"/>
      <c r="G115" s="29"/>
      <c r="H115" s="29"/>
      <c r="I115" s="58"/>
    </row>
    <row r="116" spans="1:9" x14ac:dyDescent="0.25">
      <c r="A116" s="113"/>
      <c r="B116" s="95" t="s">
        <v>150</v>
      </c>
      <c r="C116" s="14"/>
      <c r="D116" s="17"/>
      <c r="E116" s="14"/>
      <c r="F116" s="14"/>
      <c r="G116" s="17"/>
      <c r="H116" s="29"/>
      <c r="I116" s="59"/>
    </row>
    <row r="117" spans="1:9" x14ac:dyDescent="0.25">
      <c r="A117" s="114" t="s">
        <v>235</v>
      </c>
      <c r="B117" s="94"/>
      <c r="C117" s="14"/>
      <c r="D117" s="17"/>
      <c r="E117" s="14">
        <v>30</v>
      </c>
      <c r="F117" s="14">
        <v>4</v>
      </c>
      <c r="G117" s="17">
        <f t="shared" ref="G117:G128" si="6">D117*E117*F117</f>
        <v>0</v>
      </c>
      <c r="H117" s="29"/>
    </row>
    <row r="118" spans="1:9" x14ac:dyDescent="0.25">
      <c r="A118" s="114" t="s">
        <v>236</v>
      </c>
      <c r="B118" s="100"/>
      <c r="C118" s="14"/>
      <c r="D118" s="17"/>
      <c r="E118" s="14">
        <v>30</v>
      </c>
      <c r="F118" s="14">
        <v>4</v>
      </c>
      <c r="G118" s="17">
        <f t="shared" si="6"/>
        <v>0</v>
      </c>
      <c r="H118" s="29"/>
    </row>
    <row r="119" spans="1:9" x14ac:dyDescent="0.25">
      <c r="A119" s="114" t="s">
        <v>237</v>
      </c>
      <c r="B119" s="100"/>
      <c r="C119" s="14"/>
      <c r="D119" s="17"/>
      <c r="E119" s="14">
        <v>30</v>
      </c>
      <c r="F119" s="14">
        <v>4</v>
      </c>
      <c r="G119" s="17">
        <f t="shared" si="6"/>
        <v>0</v>
      </c>
      <c r="H119" s="29"/>
    </row>
    <row r="120" spans="1:9" x14ac:dyDescent="0.25">
      <c r="A120" s="114" t="s">
        <v>238</v>
      </c>
      <c r="B120" s="100"/>
      <c r="C120" s="14"/>
      <c r="D120" s="17"/>
      <c r="E120" s="14">
        <v>30</v>
      </c>
      <c r="F120" s="14">
        <f>2*4</f>
        <v>8</v>
      </c>
      <c r="G120" s="17">
        <f t="shared" si="6"/>
        <v>0</v>
      </c>
      <c r="H120" s="29"/>
      <c r="I120" s="45"/>
    </row>
    <row r="121" spans="1:9" x14ac:dyDescent="0.25">
      <c r="A121" s="114" t="s">
        <v>239</v>
      </c>
      <c r="B121" s="100"/>
      <c r="C121" s="14"/>
      <c r="D121" s="17"/>
      <c r="E121" s="14"/>
      <c r="F121" s="14"/>
      <c r="G121" s="17">
        <f t="shared" si="6"/>
        <v>0</v>
      </c>
      <c r="H121" s="29"/>
    </row>
    <row r="122" spans="1:9" x14ac:dyDescent="0.25">
      <c r="A122" s="114" t="s">
        <v>240</v>
      </c>
      <c r="B122" s="100"/>
      <c r="C122" s="14"/>
      <c r="D122" s="17"/>
      <c r="E122" s="14">
        <v>2</v>
      </c>
      <c r="F122" s="14">
        <v>4</v>
      </c>
      <c r="G122" s="17">
        <f t="shared" si="6"/>
        <v>0</v>
      </c>
      <c r="H122" s="29"/>
    </row>
    <row r="123" spans="1:9" x14ac:dyDescent="0.25">
      <c r="A123" s="114" t="s">
        <v>241</v>
      </c>
      <c r="B123" s="100"/>
      <c r="C123" s="14"/>
      <c r="D123" s="17"/>
      <c r="E123" s="14">
        <v>1</v>
      </c>
      <c r="F123" s="14">
        <v>4</v>
      </c>
      <c r="G123" s="17">
        <f t="shared" si="6"/>
        <v>0</v>
      </c>
      <c r="H123" s="29"/>
    </row>
    <row r="124" spans="1:9" x14ac:dyDescent="0.25">
      <c r="A124" s="114" t="s">
        <v>242</v>
      </c>
      <c r="B124" s="100"/>
      <c r="C124" s="14"/>
      <c r="D124" s="17"/>
      <c r="E124" s="14">
        <v>1</v>
      </c>
      <c r="F124" s="14">
        <v>4</v>
      </c>
      <c r="G124" s="17">
        <f t="shared" si="6"/>
        <v>0</v>
      </c>
      <c r="H124" s="29"/>
    </row>
    <row r="125" spans="1:9" x14ac:dyDescent="0.25">
      <c r="A125" s="114" t="s">
        <v>243</v>
      </c>
      <c r="B125" s="100"/>
      <c r="C125" s="14"/>
      <c r="D125" s="17"/>
      <c r="E125" s="14">
        <v>1</v>
      </c>
      <c r="F125" s="14">
        <v>4</v>
      </c>
      <c r="G125" s="17">
        <f t="shared" si="6"/>
        <v>0</v>
      </c>
      <c r="H125" s="29"/>
    </row>
    <row r="126" spans="1:9" x14ac:dyDescent="0.25">
      <c r="A126" s="114" t="s">
        <v>244</v>
      </c>
      <c r="B126" s="100"/>
      <c r="C126" s="14"/>
      <c r="D126" s="17"/>
      <c r="E126" s="14">
        <v>2</v>
      </c>
      <c r="F126" s="14">
        <v>4</v>
      </c>
      <c r="G126" s="17">
        <f t="shared" si="6"/>
        <v>0</v>
      </c>
      <c r="H126" s="29"/>
    </row>
    <row r="127" spans="1:9" x14ac:dyDescent="0.25">
      <c r="A127" s="114" t="s">
        <v>245</v>
      </c>
      <c r="B127" s="94"/>
      <c r="C127" s="14"/>
      <c r="D127" s="17"/>
      <c r="E127" s="14">
        <v>80</v>
      </c>
      <c r="F127" s="14">
        <v>4</v>
      </c>
      <c r="G127" s="17">
        <f t="shared" si="6"/>
        <v>0</v>
      </c>
      <c r="H127" s="29"/>
    </row>
    <row r="128" spans="1:9" x14ac:dyDescent="0.25">
      <c r="A128" s="114" t="s">
        <v>246</v>
      </c>
      <c r="B128" s="100"/>
      <c r="C128" s="14"/>
      <c r="D128" s="54"/>
      <c r="E128" s="14">
        <v>3</v>
      </c>
      <c r="F128" s="14">
        <v>4</v>
      </c>
      <c r="G128" s="17">
        <f t="shared" si="6"/>
        <v>0</v>
      </c>
      <c r="H128" s="29"/>
    </row>
    <row r="129" spans="1:9" x14ac:dyDescent="0.25">
      <c r="A129" s="113"/>
      <c r="B129" s="95" t="s">
        <v>102</v>
      </c>
      <c r="C129" s="18"/>
      <c r="D129" s="37"/>
      <c r="E129" s="18"/>
      <c r="F129" s="18"/>
      <c r="G129" s="37">
        <f>SUM(G117:G128)</f>
        <v>0</v>
      </c>
      <c r="H129" s="29"/>
      <c r="I129" s="62"/>
    </row>
    <row r="130" spans="1:9" x14ac:dyDescent="0.25">
      <c r="A130" s="113"/>
      <c r="B130" s="98"/>
      <c r="C130" s="33"/>
      <c r="D130" s="38"/>
      <c r="E130" s="33"/>
      <c r="F130" s="33"/>
      <c r="G130" s="38"/>
      <c r="H130" s="29"/>
    </row>
    <row r="131" spans="1:9" x14ac:dyDescent="0.25">
      <c r="A131" s="113"/>
      <c r="B131" s="79" t="s">
        <v>151</v>
      </c>
      <c r="C131" s="79"/>
      <c r="D131" s="79"/>
      <c r="E131" s="79"/>
      <c r="F131" s="79"/>
      <c r="G131" s="79"/>
      <c r="H131" s="39"/>
    </row>
    <row r="132" spans="1:9" x14ac:dyDescent="0.25">
      <c r="A132" s="114" t="s">
        <v>247</v>
      </c>
      <c r="B132" s="100"/>
      <c r="C132" s="14"/>
      <c r="D132" s="17"/>
      <c r="E132" s="14">
        <f>3*4</f>
        <v>12</v>
      </c>
      <c r="F132" s="14">
        <v>2</v>
      </c>
      <c r="G132" s="17">
        <f t="shared" ref="G132:G140" si="7">D132*E132*F132</f>
        <v>0</v>
      </c>
      <c r="H132" s="29"/>
    </row>
    <row r="133" spans="1:9" x14ac:dyDescent="0.25">
      <c r="A133" s="114" t="s">
        <v>248</v>
      </c>
      <c r="B133" s="100"/>
      <c r="C133" s="14"/>
      <c r="D133" s="17"/>
      <c r="E133" s="14">
        <f>1*4</f>
        <v>4</v>
      </c>
      <c r="F133" s="14">
        <v>2</v>
      </c>
      <c r="G133" s="17">
        <f t="shared" si="7"/>
        <v>0</v>
      </c>
      <c r="H133" s="29"/>
    </row>
    <row r="134" spans="1:9" x14ac:dyDescent="0.25">
      <c r="A134" s="114" t="s">
        <v>249</v>
      </c>
      <c r="B134" s="100"/>
      <c r="C134" s="14"/>
      <c r="D134" s="17"/>
      <c r="E134" s="14">
        <v>1</v>
      </c>
      <c r="F134" s="14">
        <v>2</v>
      </c>
      <c r="G134" s="17">
        <f t="shared" si="7"/>
        <v>0</v>
      </c>
      <c r="H134" s="29"/>
    </row>
    <row r="135" spans="1:9" x14ac:dyDescent="0.25">
      <c r="A135" s="114" t="s">
        <v>250</v>
      </c>
      <c r="B135" s="100"/>
      <c r="C135" s="14"/>
      <c r="D135" s="17"/>
      <c r="E135" s="14">
        <v>15</v>
      </c>
      <c r="F135" s="14">
        <v>2</v>
      </c>
      <c r="G135" s="17">
        <f t="shared" si="7"/>
        <v>0</v>
      </c>
      <c r="H135" s="29"/>
    </row>
    <row r="136" spans="1:9" x14ac:dyDescent="0.25">
      <c r="A136" s="114" t="s">
        <v>251</v>
      </c>
      <c r="B136" s="100"/>
      <c r="C136" s="14"/>
      <c r="D136" s="17"/>
      <c r="E136" s="14">
        <v>1</v>
      </c>
      <c r="F136" s="14">
        <v>2</v>
      </c>
      <c r="G136" s="17">
        <f t="shared" si="7"/>
        <v>0</v>
      </c>
      <c r="H136" s="29"/>
    </row>
    <row r="137" spans="1:9" x14ac:dyDescent="0.25">
      <c r="A137" s="114" t="s">
        <v>252</v>
      </c>
      <c r="B137" s="100"/>
      <c r="C137" s="14"/>
      <c r="D137" s="17"/>
      <c r="E137" s="14">
        <v>200</v>
      </c>
      <c r="F137" s="14">
        <v>4</v>
      </c>
      <c r="G137" s="17">
        <f t="shared" si="7"/>
        <v>0</v>
      </c>
      <c r="H137" s="29"/>
    </row>
    <row r="138" spans="1:9" x14ac:dyDescent="0.25">
      <c r="A138" s="114" t="s">
        <v>253</v>
      </c>
      <c r="B138" s="95"/>
      <c r="C138" s="14"/>
      <c r="D138" s="17"/>
      <c r="E138" s="14"/>
      <c r="F138" s="14"/>
      <c r="G138" s="17">
        <f t="shared" si="7"/>
        <v>0</v>
      </c>
      <c r="H138" s="29"/>
    </row>
    <row r="139" spans="1:9" x14ac:dyDescent="0.25">
      <c r="A139" s="114" t="s">
        <v>254</v>
      </c>
      <c r="B139" s="94"/>
      <c r="C139" s="14"/>
      <c r="D139" s="17"/>
      <c r="E139" s="14">
        <v>4</v>
      </c>
      <c r="F139" s="14">
        <v>2</v>
      </c>
      <c r="G139" s="17">
        <f t="shared" si="7"/>
        <v>0</v>
      </c>
      <c r="H139" s="29"/>
    </row>
    <row r="140" spans="1:9" x14ac:dyDescent="0.25">
      <c r="A140" s="114" t="s">
        <v>255</v>
      </c>
      <c r="B140" s="94"/>
      <c r="C140" s="14"/>
      <c r="D140" s="17"/>
      <c r="E140" s="14">
        <v>1</v>
      </c>
      <c r="F140" s="14">
        <v>2</v>
      </c>
      <c r="G140" s="17">
        <f t="shared" si="7"/>
        <v>0</v>
      </c>
      <c r="H140" s="29"/>
    </row>
    <row r="141" spans="1:9" x14ac:dyDescent="0.25">
      <c r="A141" s="113"/>
      <c r="B141" s="97" t="s">
        <v>104</v>
      </c>
      <c r="C141" s="18"/>
      <c r="D141" s="29"/>
      <c r="E141" s="18"/>
      <c r="F141" s="18"/>
      <c r="G141" s="29">
        <f>SUM(G132:G140)</f>
        <v>0</v>
      </c>
      <c r="H141" s="29"/>
    </row>
    <row r="142" spans="1:9" x14ac:dyDescent="0.25">
      <c r="A142" s="113"/>
      <c r="B142" s="100"/>
      <c r="C142" s="14"/>
      <c r="D142" s="17"/>
      <c r="E142" s="14"/>
      <c r="F142" s="14"/>
      <c r="G142" s="17"/>
      <c r="H142" s="29"/>
    </row>
    <row r="143" spans="1:9" ht="30.75" customHeight="1" x14ac:dyDescent="0.25">
      <c r="A143" s="113"/>
      <c r="B143" s="102" t="s">
        <v>152</v>
      </c>
      <c r="C143" s="93"/>
      <c r="D143" s="93"/>
      <c r="E143" s="93"/>
      <c r="F143" s="93"/>
      <c r="G143" s="93"/>
      <c r="H143" s="29"/>
    </row>
    <row r="144" spans="1:9" x14ac:dyDescent="0.25">
      <c r="A144" s="114" t="s">
        <v>256</v>
      </c>
      <c r="B144" s="94"/>
      <c r="C144" s="14"/>
      <c r="D144" s="17"/>
      <c r="E144" s="14">
        <v>2</v>
      </c>
      <c r="F144" s="14">
        <v>4</v>
      </c>
      <c r="G144" s="17">
        <f>D144*E144*F144</f>
        <v>0</v>
      </c>
      <c r="H144" s="29"/>
    </row>
    <row r="145" spans="1:9" x14ac:dyDescent="0.25">
      <c r="A145" s="114" t="s">
        <v>257</v>
      </c>
      <c r="B145" s="94"/>
      <c r="C145" s="14"/>
      <c r="D145" s="17"/>
      <c r="E145" s="14">
        <v>1</v>
      </c>
      <c r="F145" s="14">
        <v>4</v>
      </c>
      <c r="G145" s="17">
        <f t="shared" ref="G145:G158" si="8">D145*E145*F145</f>
        <v>0</v>
      </c>
      <c r="H145" s="29"/>
    </row>
    <row r="146" spans="1:9" x14ac:dyDescent="0.25">
      <c r="A146" s="114" t="s">
        <v>258</v>
      </c>
      <c r="B146" s="100"/>
      <c r="C146" s="14"/>
      <c r="D146" s="17"/>
      <c r="E146" s="14">
        <v>92</v>
      </c>
      <c r="F146" s="14">
        <v>2</v>
      </c>
      <c r="G146" s="17">
        <f t="shared" si="8"/>
        <v>0</v>
      </c>
      <c r="H146" s="29"/>
    </row>
    <row r="147" spans="1:9" x14ac:dyDescent="0.25">
      <c r="A147" s="114" t="s">
        <v>259</v>
      </c>
      <c r="B147" s="100"/>
      <c r="C147" s="14"/>
      <c r="D147" s="17"/>
      <c r="E147" s="14">
        <v>92</v>
      </c>
      <c r="F147" s="14">
        <v>2</v>
      </c>
      <c r="G147" s="17">
        <f t="shared" si="8"/>
        <v>0</v>
      </c>
      <c r="H147" s="29"/>
      <c r="I147" s="45"/>
    </row>
    <row r="148" spans="1:9" x14ac:dyDescent="0.25">
      <c r="A148" s="114" t="s">
        <v>260</v>
      </c>
      <c r="B148" s="101"/>
      <c r="C148" s="14"/>
      <c r="D148" s="17"/>
      <c r="E148" s="14">
        <v>92</v>
      </c>
      <c r="F148" s="14">
        <v>2</v>
      </c>
      <c r="G148" s="17">
        <f t="shared" si="8"/>
        <v>0</v>
      </c>
      <c r="H148" s="29"/>
    </row>
    <row r="149" spans="1:9" x14ac:dyDescent="0.25">
      <c r="A149" s="114" t="s">
        <v>261</v>
      </c>
      <c r="B149" s="100"/>
      <c r="C149" s="14"/>
      <c r="D149" s="17"/>
      <c r="E149" s="14">
        <v>2</v>
      </c>
      <c r="F149" s="14">
        <v>4</v>
      </c>
      <c r="G149" s="17">
        <f t="shared" si="8"/>
        <v>0</v>
      </c>
      <c r="H149" s="29"/>
    </row>
    <row r="150" spans="1:9" x14ac:dyDescent="0.25">
      <c r="A150" s="114" t="s">
        <v>262</v>
      </c>
      <c r="B150" s="100"/>
      <c r="C150" s="14"/>
      <c r="D150" s="54"/>
      <c r="E150" s="14">
        <v>2</v>
      </c>
      <c r="F150" s="14">
        <f>3*4</f>
        <v>12</v>
      </c>
      <c r="G150" s="17">
        <f t="shared" si="8"/>
        <v>0</v>
      </c>
      <c r="H150" s="29"/>
    </row>
    <row r="151" spans="1:9" x14ac:dyDescent="0.25">
      <c r="A151" s="114" t="s">
        <v>263</v>
      </c>
      <c r="B151" s="100"/>
      <c r="C151" s="14"/>
      <c r="D151" s="17"/>
      <c r="E151" s="14">
        <v>10</v>
      </c>
      <c r="F151" s="14">
        <v>4</v>
      </c>
      <c r="G151" s="17">
        <f t="shared" si="8"/>
        <v>0</v>
      </c>
      <c r="H151" s="29"/>
    </row>
    <row r="152" spans="1:9" x14ac:dyDescent="0.25">
      <c r="A152" s="114" t="s">
        <v>264</v>
      </c>
      <c r="B152" s="95"/>
      <c r="C152" s="14"/>
      <c r="D152" s="17"/>
      <c r="E152" s="14"/>
      <c r="F152" s="14"/>
      <c r="G152" s="17">
        <f t="shared" si="8"/>
        <v>0</v>
      </c>
      <c r="H152" s="29"/>
    </row>
    <row r="153" spans="1:9" x14ac:dyDescent="0.25">
      <c r="A153" s="114" t="s">
        <v>265</v>
      </c>
      <c r="B153" s="100"/>
      <c r="C153" s="14"/>
      <c r="D153" s="17"/>
      <c r="E153" s="14">
        <v>1</v>
      </c>
      <c r="F153" s="14">
        <f>1*4</f>
        <v>4</v>
      </c>
      <c r="G153" s="17">
        <f t="shared" si="8"/>
        <v>0</v>
      </c>
      <c r="H153" s="29"/>
    </row>
    <row r="154" spans="1:9" x14ac:dyDescent="0.25">
      <c r="A154" s="114" t="s">
        <v>266</v>
      </c>
      <c r="B154" s="100"/>
      <c r="C154" s="14"/>
      <c r="D154" s="17"/>
      <c r="E154" s="14">
        <v>1</v>
      </c>
      <c r="F154" s="14">
        <f>1*4</f>
        <v>4</v>
      </c>
      <c r="G154" s="17">
        <f t="shared" si="8"/>
        <v>0</v>
      </c>
      <c r="H154" s="29"/>
    </row>
    <row r="155" spans="1:9" x14ac:dyDescent="0.25">
      <c r="A155" s="114" t="s">
        <v>267</v>
      </c>
      <c r="B155" s="100"/>
      <c r="C155" s="14"/>
      <c r="D155" s="17"/>
      <c r="E155" s="14">
        <v>1</v>
      </c>
      <c r="F155" s="14">
        <f>1*4</f>
        <v>4</v>
      </c>
      <c r="G155" s="17">
        <f t="shared" si="8"/>
        <v>0</v>
      </c>
      <c r="H155" s="29"/>
    </row>
    <row r="156" spans="1:9" x14ac:dyDescent="0.25">
      <c r="A156" s="114" t="s">
        <v>268</v>
      </c>
      <c r="B156" s="100"/>
      <c r="C156" s="14"/>
      <c r="D156" s="17"/>
      <c r="E156" s="14">
        <v>1</v>
      </c>
      <c r="F156" s="14">
        <f>1*4</f>
        <v>4</v>
      </c>
      <c r="G156" s="17">
        <f t="shared" si="8"/>
        <v>0</v>
      </c>
      <c r="H156" s="29"/>
    </row>
    <row r="157" spans="1:9" x14ac:dyDescent="0.25">
      <c r="A157" s="114" t="s">
        <v>269</v>
      </c>
      <c r="B157" s="94"/>
      <c r="C157" s="14"/>
      <c r="D157" s="17"/>
      <c r="E157" s="17">
        <v>5</v>
      </c>
      <c r="F157" s="14">
        <f>4*4</f>
        <v>16</v>
      </c>
      <c r="G157" s="17">
        <f t="shared" si="8"/>
        <v>0</v>
      </c>
      <c r="H157" s="29"/>
    </row>
    <row r="158" spans="1:9" x14ac:dyDescent="0.25">
      <c r="A158" s="114" t="s">
        <v>270</v>
      </c>
      <c r="B158" s="94"/>
      <c r="C158" s="14"/>
      <c r="D158" s="17"/>
      <c r="E158" s="14">
        <v>1</v>
      </c>
      <c r="F158" s="14">
        <f>2*3</f>
        <v>6</v>
      </c>
      <c r="G158" s="17">
        <f t="shared" si="8"/>
        <v>0</v>
      </c>
      <c r="H158" s="29"/>
    </row>
    <row r="159" spans="1:9" x14ac:dyDescent="0.25">
      <c r="A159" s="113"/>
      <c r="B159" s="95" t="s">
        <v>100</v>
      </c>
      <c r="C159" s="18"/>
      <c r="D159" s="37"/>
      <c r="E159" s="18"/>
      <c r="F159" s="18"/>
      <c r="G159" s="37">
        <f>SUM(G144:G158)</f>
        <v>0</v>
      </c>
      <c r="H159" s="29"/>
    </row>
    <row r="160" spans="1:9" x14ac:dyDescent="0.25">
      <c r="A160" s="114"/>
      <c r="B160" s="91"/>
      <c r="C160" s="91"/>
      <c r="D160" s="91"/>
      <c r="E160" s="91"/>
      <c r="F160" s="91"/>
      <c r="G160" s="91"/>
      <c r="H160" s="29"/>
    </row>
    <row r="161" spans="1:8" x14ac:dyDescent="0.25">
      <c r="A161" s="114" t="s">
        <v>271</v>
      </c>
      <c r="B161" s="103"/>
      <c r="C161" s="56"/>
      <c r="D161" s="57"/>
      <c r="E161" s="56"/>
      <c r="F161" s="56"/>
      <c r="G161" s="57"/>
      <c r="H161" s="29"/>
    </row>
    <row r="162" spans="1:8" x14ac:dyDescent="0.25">
      <c r="A162" s="114" t="s">
        <v>272</v>
      </c>
      <c r="B162" s="104"/>
      <c r="C162" s="46"/>
      <c r="D162" s="47"/>
      <c r="E162" s="46">
        <v>7</v>
      </c>
      <c r="F162" s="46">
        <v>1</v>
      </c>
      <c r="G162" s="47">
        <f>D162*E162*F162</f>
        <v>0</v>
      </c>
      <c r="H162" s="17"/>
    </row>
    <row r="163" spans="1:8" x14ac:dyDescent="0.25">
      <c r="A163" s="114" t="s">
        <v>273</v>
      </c>
      <c r="B163" s="104"/>
      <c r="C163" s="46"/>
      <c r="D163" s="47"/>
      <c r="E163" s="46">
        <v>3</v>
      </c>
      <c r="F163" s="46">
        <v>1</v>
      </c>
      <c r="G163" s="47">
        <f t="shared" ref="G163:G168" si="9">D163*E163*F163</f>
        <v>0</v>
      </c>
      <c r="H163" s="17"/>
    </row>
    <row r="164" spans="1:8" x14ac:dyDescent="0.25">
      <c r="A164" s="114" t="s">
        <v>274</v>
      </c>
      <c r="B164" s="104"/>
      <c r="C164" s="46"/>
      <c r="D164" s="47"/>
      <c r="E164" s="46">
        <v>1</v>
      </c>
      <c r="F164" s="46">
        <v>1</v>
      </c>
      <c r="G164" s="47">
        <f t="shared" si="9"/>
        <v>0</v>
      </c>
      <c r="H164" s="17"/>
    </row>
    <row r="165" spans="1:8" x14ac:dyDescent="0.25">
      <c r="A165" s="114" t="s">
        <v>275</v>
      </c>
      <c r="B165" s="104"/>
      <c r="C165" s="46"/>
      <c r="D165" s="47"/>
      <c r="E165" s="46">
        <v>20</v>
      </c>
      <c r="F165" s="46">
        <v>1</v>
      </c>
      <c r="G165" s="47">
        <f t="shared" si="9"/>
        <v>0</v>
      </c>
      <c r="H165" s="17"/>
    </row>
    <row r="166" spans="1:8" x14ac:dyDescent="0.25">
      <c r="A166" s="114" t="s">
        <v>276</v>
      </c>
      <c r="B166" s="104"/>
      <c r="C166" s="46"/>
      <c r="D166" s="47"/>
      <c r="E166" s="46">
        <v>50</v>
      </c>
      <c r="F166" s="46">
        <v>1</v>
      </c>
      <c r="G166" s="47">
        <f t="shared" si="9"/>
        <v>0</v>
      </c>
      <c r="H166" s="17"/>
    </row>
    <row r="167" spans="1:8" x14ac:dyDescent="0.25">
      <c r="A167" s="114" t="s">
        <v>277</v>
      </c>
      <c r="B167" s="104"/>
      <c r="C167" s="46"/>
      <c r="D167" s="47"/>
      <c r="E167" s="46">
        <v>4</v>
      </c>
      <c r="F167" s="46">
        <v>1</v>
      </c>
      <c r="G167" s="47">
        <f t="shared" si="9"/>
        <v>0</v>
      </c>
      <c r="H167" s="17"/>
    </row>
    <row r="168" spans="1:8" x14ac:dyDescent="0.25">
      <c r="A168" s="114" t="s">
        <v>278</v>
      </c>
      <c r="B168" s="104"/>
      <c r="C168" s="46"/>
      <c r="D168" s="47"/>
      <c r="E168" s="46">
        <v>30</v>
      </c>
      <c r="F168" s="46">
        <v>1</v>
      </c>
      <c r="G168" s="47">
        <f t="shared" si="9"/>
        <v>0</v>
      </c>
      <c r="H168" s="17"/>
    </row>
    <row r="169" spans="1:8" x14ac:dyDescent="0.25">
      <c r="A169" s="113"/>
      <c r="B169" s="103" t="s">
        <v>105</v>
      </c>
      <c r="C169" s="56"/>
      <c r="D169" s="57"/>
      <c r="E169" s="56"/>
      <c r="F169" s="56"/>
      <c r="G169" s="57">
        <f>SUM(G161:G168)</f>
        <v>0</v>
      </c>
      <c r="H169" s="29"/>
    </row>
    <row r="170" spans="1:8" x14ac:dyDescent="0.25">
      <c r="A170" s="113"/>
      <c r="B170" s="103"/>
      <c r="C170" s="56"/>
      <c r="D170" s="57"/>
      <c r="E170" s="56"/>
      <c r="F170" s="56"/>
      <c r="G170" s="57"/>
      <c r="H170" s="29"/>
    </row>
    <row r="171" spans="1:8" x14ac:dyDescent="0.25">
      <c r="A171" s="114" t="s">
        <v>279</v>
      </c>
      <c r="B171" s="94"/>
      <c r="C171" s="14"/>
      <c r="D171" s="17"/>
      <c r="E171" s="14">
        <v>2</v>
      </c>
      <c r="F171" s="14">
        <v>1</v>
      </c>
      <c r="G171" s="17">
        <f>D171*E171*F171</f>
        <v>0</v>
      </c>
      <c r="H171" s="29"/>
    </row>
    <row r="172" spans="1:8" x14ac:dyDescent="0.25">
      <c r="A172" s="114" t="s">
        <v>280</v>
      </c>
      <c r="B172" s="105"/>
      <c r="C172" s="14"/>
      <c r="D172" s="17"/>
      <c r="E172" s="14">
        <v>4</v>
      </c>
      <c r="F172" s="14">
        <v>1</v>
      </c>
      <c r="G172" s="17">
        <f t="shared" ref="G172:G174" si="10">D172*E172*F172</f>
        <v>0</v>
      </c>
      <c r="H172" s="29"/>
    </row>
    <row r="173" spans="1:8" x14ac:dyDescent="0.25">
      <c r="A173" s="114" t="s">
        <v>281</v>
      </c>
      <c r="B173" s="106"/>
      <c r="C173" s="48"/>
      <c r="D173" s="17"/>
      <c r="E173" s="14">
        <v>2</v>
      </c>
      <c r="F173" s="14">
        <v>1</v>
      </c>
      <c r="G173" s="17">
        <f t="shared" si="10"/>
        <v>0</v>
      </c>
      <c r="H173" s="29"/>
    </row>
    <row r="174" spans="1:8" x14ac:dyDescent="0.25">
      <c r="A174" s="114" t="s">
        <v>282</v>
      </c>
      <c r="B174" s="106"/>
      <c r="C174" s="48"/>
      <c r="D174" s="17"/>
      <c r="E174" s="14">
        <v>1</v>
      </c>
      <c r="F174" s="14">
        <v>1</v>
      </c>
      <c r="G174" s="17">
        <f t="shared" si="10"/>
        <v>0</v>
      </c>
      <c r="H174" s="29"/>
    </row>
    <row r="175" spans="1:8" x14ac:dyDescent="0.25">
      <c r="A175" s="114" t="s">
        <v>283</v>
      </c>
      <c r="B175" s="107"/>
      <c r="C175" s="55"/>
      <c r="D175" s="29"/>
      <c r="E175" s="18"/>
      <c r="F175" s="18"/>
      <c r="G175" s="29">
        <f>SUM(G171:G174)</f>
        <v>0</v>
      </c>
      <c r="H175" s="29"/>
    </row>
    <row r="176" spans="1:8" x14ac:dyDescent="0.25">
      <c r="A176" s="113"/>
      <c r="B176" s="95" t="s">
        <v>106</v>
      </c>
      <c r="C176" s="18"/>
      <c r="D176" s="37"/>
      <c r="E176" s="18"/>
      <c r="F176" s="18"/>
      <c r="G176" s="37"/>
      <c r="H176" s="29"/>
    </row>
    <row r="177" spans="1:8" x14ac:dyDescent="0.25">
      <c r="A177" s="113"/>
      <c r="B177" s="91"/>
      <c r="C177" s="91"/>
      <c r="D177" s="91"/>
      <c r="E177" s="91"/>
      <c r="F177" s="91"/>
      <c r="G177" s="91"/>
      <c r="H177" s="29"/>
    </row>
    <row r="178" spans="1:8" x14ac:dyDescent="0.25">
      <c r="A178" s="114" t="s">
        <v>284</v>
      </c>
      <c r="B178" s="106"/>
      <c r="C178" s="48"/>
      <c r="D178" s="17"/>
      <c r="E178" s="14">
        <v>40</v>
      </c>
      <c r="F178" s="14">
        <v>4</v>
      </c>
      <c r="G178" s="17">
        <f>D178*E178*F178</f>
        <v>0</v>
      </c>
      <c r="H178" s="29"/>
    </row>
    <row r="179" spans="1:8" x14ac:dyDescent="0.25">
      <c r="A179" s="114" t="s">
        <v>285</v>
      </c>
      <c r="B179" s="106"/>
      <c r="C179" s="48"/>
      <c r="D179" s="17"/>
      <c r="E179" s="14">
        <v>2</v>
      </c>
      <c r="F179" s="14">
        <v>4</v>
      </c>
      <c r="G179" s="17">
        <f t="shared" ref="G179:G184" si="11">D179*E179*F179</f>
        <v>0</v>
      </c>
      <c r="H179" s="29"/>
    </row>
    <row r="180" spans="1:8" x14ac:dyDescent="0.25">
      <c r="A180" s="114" t="s">
        <v>286</v>
      </c>
      <c r="B180" s="106"/>
      <c r="C180" s="48"/>
      <c r="D180" s="17"/>
      <c r="E180" s="14"/>
      <c r="F180" s="14"/>
      <c r="G180" s="17"/>
      <c r="H180" s="29"/>
    </row>
    <row r="181" spans="1:8" x14ac:dyDescent="0.25">
      <c r="A181" s="114" t="s">
        <v>287</v>
      </c>
      <c r="B181" s="106"/>
      <c r="C181" s="48"/>
      <c r="D181" s="17"/>
      <c r="E181" s="14"/>
      <c r="F181" s="14"/>
      <c r="G181" s="17"/>
      <c r="H181" s="29"/>
    </row>
    <row r="182" spans="1:8" x14ac:dyDescent="0.25">
      <c r="A182" s="114" t="s">
        <v>288</v>
      </c>
      <c r="B182" s="108"/>
      <c r="C182" s="48"/>
      <c r="D182" s="17"/>
      <c r="E182" s="14">
        <v>80</v>
      </c>
      <c r="F182" s="14">
        <v>4</v>
      </c>
      <c r="G182" s="17">
        <f t="shared" si="11"/>
        <v>0</v>
      </c>
      <c r="H182" s="29"/>
    </row>
    <row r="183" spans="1:8" x14ac:dyDescent="0.25">
      <c r="A183" s="114" t="s">
        <v>289</v>
      </c>
      <c r="B183" s="108"/>
      <c r="C183" s="48"/>
      <c r="D183" s="17"/>
      <c r="E183" s="14">
        <v>2</v>
      </c>
      <c r="F183" s="14">
        <v>4</v>
      </c>
      <c r="G183" s="17">
        <f t="shared" si="11"/>
        <v>0</v>
      </c>
      <c r="H183" s="29"/>
    </row>
    <row r="184" spans="1:8" x14ac:dyDescent="0.25">
      <c r="A184" s="114" t="s">
        <v>290</v>
      </c>
      <c r="B184" s="106"/>
      <c r="C184" s="48"/>
      <c r="D184" s="17"/>
      <c r="E184" s="14">
        <v>1</v>
      </c>
      <c r="F184" s="14">
        <v>4</v>
      </c>
      <c r="G184" s="17">
        <f t="shared" si="11"/>
        <v>0</v>
      </c>
      <c r="H184" s="29"/>
    </row>
    <row r="185" spans="1:8" x14ac:dyDescent="0.25">
      <c r="A185" s="113"/>
      <c r="B185" s="95" t="s">
        <v>100</v>
      </c>
      <c r="C185" s="18"/>
      <c r="D185" s="37"/>
      <c r="E185" s="18"/>
      <c r="F185" s="18"/>
      <c r="G185" s="37">
        <f>SUM(G178:G184)</f>
        <v>0</v>
      </c>
      <c r="H185" s="29"/>
    </row>
    <row r="186" spans="1:8" x14ac:dyDescent="0.25">
      <c r="A186" s="113"/>
      <c r="B186" s="91"/>
      <c r="C186" s="91"/>
      <c r="D186" s="91"/>
      <c r="E186" s="91"/>
      <c r="F186" s="91"/>
      <c r="G186" s="91"/>
      <c r="H186" s="29"/>
    </row>
    <row r="187" spans="1:8" x14ac:dyDescent="0.25">
      <c r="A187" s="114" t="s">
        <v>291</v>
      </c>
      <c r="B187" s="94"/>
      <c r="C187" s="48"/>
      <c r="D187" s="17"/>
      <c r="E187" s="14">
        <v>2</v>
      </c>
      <c r="F187" s="14">
        <v>2</v>
      </c>
      <c r="G187" s="17">
        <f>D187*E187*F187</f>
        <v>0</v>
      </c>
      <c r="H187" s="29"/>
    </row>
    <row r="188" spans="1:8" x14ac:dyDescent="0.25">
      <c r="A188" s="114" t="s">
        <v>292</v>
      </c>
      <c r="B188" s="100"/>
      <c r="C188" s="48"/>
      <c r="D188" s="17"/>
      <c r="E188" s="14">
        <v>4</v>
      </c>
      <c r="F188" s="14">
        <v>1</v>
      </c>
      <c r="G188" s="17">
        <f>D188*E188*F188</f>
        <v>0</v>
      </c>
      <c r="H188" s="29"/>
    </row>
    <row r="189" spans="1:8" x14ac:dyDescent="0.25">
      <c r="A189" s="113"/>
      <c r="B189" s="95" t="s">
        <v>106</v>
      </c>
      <c r="C189" s="18"/>
      <c r="D189" s="37"/>
      <c r="E189" s="18"/>
      <c r="F189" s="18"/>
      <c r="G189" s="37">
        <f>SUM(G187:G188)</f>
        <v>0</v>
      </c>
      <c r="H189" s="29"/>
    </row>
    <row r="190" spans="1:8" x14ac:dyDescent="0.25">
      <c r="A190" s="113"/>
      <c r="B190" s="97" t="s">
        <v>107</v>
      </c>
      <c r="C190" s="18"/>
      <c r="D190" s="29"/>
      <c r="E190" s="18"/>
      <c r="F190" s="18"/>
      <c r="G190" s="29">
        <f>G159+G169+G175+G185+G189</f>
        <v>0</v>
      </c>
      <c r="H190" s="29"/>
    </row>
    <row r="191" spans="1:8" x14ac:dyDescent="0.25">
      <c r="A191" s="113"/>
      <c r="B191" s="95" t="s">
        <v>108</v>
      </c>
      <c r="C191" s="18"/>
      <c r="D191" s="29"/>
      <c r="E191" s="18"/>
      <c r="F191" s="18"/>
      <c r="G191" s="29">
        <f>G114+G129+G141+G190</f>
        <v>9414000</v>
      </c>
      <c r="H191" s="29"/>
    </row>
    <row r="192" spans="1:8" x14ac:dyDescent="0.25">
      <c r="A192" s="113"/>
      <c r="B192" s="95"/>
      <c r="C192" s="19"/>
      <c r="D192" s="20"/>
      <c r="E192" s="21"/>
      <c r="F192" s="18"/>
      <c r="G192" s="20"/>
      <c r="H192" s="29"/>
    </row>
    <row r="193" spans="1:9" x14ac:dyDescent="0.25">
      <c r="A193" s="113"/>
      <c r="B193" s="109" t="s">
        <v>109</v>
      </c>
      <c r="C193" s="73"/>
      <c r="D193" s="74"/>
      <c r="E193" s="75"/>
      <c r="F193" s="76"/>
      <c r="G193" s="74"/>
      <c r="H193" s="77"/>
    </row>
    <row r="194" spans="1:9" x14ac:dyDescent="0.25">
      <c r="A194" s="113"/>
      <c r="B194" s="95" t="s">
        <v>110</v>
      </c>
      <c r="C194" s="15"/>
      <c r="D194" s="40"/>
      <c r="E194" s="41"/>
      <c r="F194" s="14"/>
      <c r="G194" s="16"/>
      <c r="H194" s="17"/>
    </row>
    <row r="195" spans="1:9" x14ac:dyDescent="0.25">
      <c r="A195" s="113"/>
      <c r="B195" s="100" t="s">
        <v>111</v>
      </c>
      <c r="C195" s="15" t="s">
        <v>42</v>
      </c>
      <c r="D195" s="40">
        <v>5600</v>
      </c>
      <c r="E195" s="40">
        <v>30</v>
      </c>
      <c r="F195" s="14">
        <v>12</v>
      </c>
      <c r="G195" s="16">
        <f>F195*E195*D195</f>
        <v>2016000</v>
      </c>
      <c r="H195" s="17"/>
    </row>
    <row r="196" spans="1:9" x14ac:dyDescent="0.25">
      <c r="A196" s="113"/>
      <c r="B196" s="100" t="s">
        <v>91</v>
      </c>
      <c r="C196" s="15" t="s">
        <v>51</v>
      </c>
      <c r="D196" s="40">
        <v>20000</v>
      </c>
      <c r="E196" s="40">
        <v>1</v>
      </c>
      <c r="F196" s="14">
        <v>12</v>
      </c>
      <c r="G196" s="16">
        <f>F196*E196*D196</f>
        <v>240000</v>
      </c>
      <c r="H196" s="17"/>
    </row>
    <row r="197" spans="1:9" x14ac:dyDescent="0.25">
      <c r="A197" s="113"/>
      <c r="B197" s="95" t="s">
        <v>79</v>
      </c>
      <c r="C197" s="53"/>
      <c r="D197" s="41"/>
      <c r="E197" s="41"/>
      <c r="F197" s="18"/>
      <c r="G197" s="20">
        <f>SUM(G194:G196)</f>
        <v>2256000</v>
      </c>
      <c r="H197" s="29"/>
      <c r="I197" s="59"/>
    </row>
    <row r="198" spans="1:9" x14ac:dyDescent="0.25">
      <c r="A198" s="113"/>
      <c r="B198" s="95" t="s">
        <v>294</v>
      </c>
      <c r="C198" s="15"/>
      <c r="D198" s="40"/>
      <c r="E198" s="41"/>
      <c r="F198" s="14"/>
      <c r="G198" s="16"/>
      <c r="H198" s="17"/>
    </row>
    <row r="199" spans="1:9" x14ac:dyDescent="0.25">
      <c r="A199" s="113"/>
      <c r="B199" s="100" t="s">
        <v>111</v>
      </c>
      <c r="C199" s="15" t="s">
        <v>42</v>
      </c>
      <c r="D199" s="40">
        <v>5600</v>
      </c>
      <c r="E199" s="40">
        <v>70</v>
      </c>
      <c r="F199" s="14">
        <v>6</v>
      </c>
      <c r="G199" s="16">
        <f>F199*E199*D199</f>
        <v>2352000</v>
      </c>
      <c r="H199" s="17"/>
    </row>
    <row r="200" spans="1:9" x14ac:dyDescent="0.25">
      <c r="A200" s="113"/>
      <c r="B200" s="100" t="s">
        <v>112</v>
      </c>
      <c r="C200" s="15" t="s">
        <v>15</v>
      </c>
      <c r="D200" s="40">
        <v>100000</v>
      </c>
      <c r="E200" s="40">
        <v>4</v>
      </c>
      <c r="F200" s="14">
        <v>15</v>
      </c>
      <c r="G200" s="16">
        <f>F200*E200*D200</f>
        <v>6000000</v>
      </c>
      <c r="H200" s="17"/>
    </row>
    <row r="201" spans="1:9" x14ac:dyDescent="0.25">
      <c r="A201" s="113"/>
      <c r="B201" s="95" t="s">
        <v>79</v>
      </c>
      <c r="C201" s="53"/>
      <c r="D201" s="41"/>
      <c r="E201" s="41"/>
      <c r="F201" s="18"/>
      <c r="G201" s="20">
        <f>SUM(G198:G200)</f>
        <v>8352000</v>
      </c>
      <c r="H201" s="17"/>
      <c r="I201" s="58"/>
    </row>
    <row r="202" spans="1:9" x14ac:dyDescent="0.25">
      <c r="A202" s="113"/>
      <c r="B202" s="97" t="s">
        <v>113</v>
      </c>
      <c r="C202" s="23"/>
      <c r="D202" s="16"/>
      <c r="E202" s="13"/>
      <c r="F202" s="18"/>
      <c r="G202" s="20"/>
      <c r="H202" s="17"/>
    </row>
    <row r="203" spans="1:9" x14ac:dyDescent="0.25">
      <c r="A203" s="113"/>
      <c r="B203" s="94" t="s">
        <v>111</v>
      </c>
      <c r="C203" s="23" t="s">
        <v>42</v>
      </c>
      <c r="D203" s="16">
        <v>5600</v>
      </c>
      <c r="E203" s="13">
        <v>80</v>
      </c>
      <c r="F203" s="14">
        <v>4</v>
      </c>
      <c r="G203" s="16">
        <f>F203*E203*D203</f>
        <v>1792000</v>
      </c>
      <c r="H203" s="17"/>
    </row>
    <row r="204" spans="1:9" x14ac:dyDescent="0.25">
      <c r="A204" s="113"/>
      <c r="B204" s="94" t="s">
        <v>153</v>
      </c>
      <c r="C204" s="23" t="s">
        <v>15</v>
      </c>
      <c r="D204" s="16">
        <v>50000</v>
      </c>
      <c r="E204" s="13">
        <v>4</v>
      </c>
      <c r="F204" s="14">
        <v>4</v>
      </c>
      <c r="G204" s="16">
        <f>F204*E204*D204</f>
        <v>800000</v>
      </c>
      <c r="H204" s="17"/>
    </row>
    <row r="205" spans="1:9" x14ac:dyDescent="0.25">
      <c r="A205" s="113"/>
      <c r="B205" s="94" t="s">
        <v>91</v>
      </c>
      <c r="C205" s="23" t="s">
        <v>51</v>
      </c>
      <c r="D205" s="16">
        <v>20000</v>
      </c>
      <c r="E205" s="13">
        <v>4</v>
      </c>
      <c r="F205" s="14">
        <v>4</v>
      </c>
      <c r="G205" s="16">
        <f>F205*E205*D205</f>
        <v>320000</v>
      </c>
      <c r="H205" s="17"/>
    </row>
    <row r="206" spans="1:9" x14ac:dyDescent="0.25">
      <c r="A206" s="113"/>
      <c r="B206" s="95" t="s">
        <v>79</v>
      </c>
      <c r="C206" s="53"/>
      <c r="D206" s="41"/>
      <c r="E206" s="41"/>
      <c r="F206" s="18"/>
      <c r="G206" s="20">
        <f>SUM(G202:G205)</f>
        <v>2912000</v>
      </c>
      <c r="H206" s="17"/>
    </row>
    <row r="207" spans="1:9" x14ac:dyDescent="0.25">
      <c r="A207" s="113"/>
      <c r="B207" s="95" t="s">
        <v>114</v>
      </c>
      <c r="C207" s="23"/>
      <c r="D207" s="16"/>
      <c r="E207" s="13"/>
      <c r="F207" s="14"/>
      <c r="G207" s="16"/>
      <c r="H207" s="17"/>
    </row>
    <row r="208" spans="1:9" x14ac:dyDescent="0.25">
      <c r="A208" s="113"/>
      <c r="B208" s="100" t="s">
        <v>115</v>
      </c>
      <c r="C208" s="23" t="s">
        <v>42</v>
      </c>
      <c r="D208" s="16">
        <v>5600</v>
      </c>
      <c r="E208" s="13">
        <v>80</v>
      </c>
      <c r="F208" s="14">
        <v>2</v>
      </c>
      <c r="G208" s="16">
        <f t="shared" ref="G208:G214" si="12">F208*E208*D208</f>
        <v>896000</v>
      </c>
      <c r="H208" s="17"/>
    </row>
    <row r="209" spans="1:9" x14ac:dyDescent="0.25">
      <c r="A209" s="113"/>
      <c r="B209" s="100" t="s">
        <v>25</v>
      </c>
      <c r="C209" s="23" t="s">
        <v>15</v>
      </c>
      <c r="D209" s="16">
        <v>20000</v>
      </c>
      <c r="E209" s="13">
        <v>20</v>
      </c>
      <c r="F209" s="14">
        <v>2</v>
      </c>
      <c r="G209" s="16">
        <f t="shared" si="12"/>
        <v>800000</v>
      </c>
      <c r="H209" s="36"/>
      <c r="I209" s="58"/>
    </row>
    <row r="210" spans="1:9" x14ac:dyDescent="0.25">
      <c r="A210" s="113"/>
      <c r="B210" s="100" t="s">
        <v>116</v>
      </c>
      <c r="C210" s="23" t="s">
        <v>42</v>
      </c>
      <c r="D210" s="16">
        <v>5600</v>
      </c>
      <c r="E210" s="13">
        <f>20*2</f>
        <v>40</v>
      </c>
      <c r="F210" s="14">
        <v>1</v>
      </c>
      <c r="G210" s="16">
        <f t="shared" si="12"/>
        <v>224000</v>
      </c>
      <c r="H210" s="36"/>
    </row>
    <row r="211" spans="1:9" x14ac:dyDescent="0.25">
      <c r="A211" s="113"/>
      <c r="B211" s="100" t="s">
        <v>117</v>
      </c>
      <c r="C211" s="23" t="s">
        <v>11</v>
      </c>
      <c r="D211" s="16">
        <v>12000</v>
      </c>
      <c r="E211" s="13">
        <v>8</v>
      </c>
      <c r="F211" s="14">
        <v>2</v>
      </c>
      <c r="G211" s="16">
        <f t="shared" si="12"/>
        <v>192000</v>
      </c>
      <c r="H211" s="36"/>
    </row>
    <row r="212" spans="1:9" x14ac:dyDescent="0.25">
      <c r="A212" s="113"/>
      <c r="B212" s="100"/>
      <c r="C212" s="23"/>
      <c r="D212" s="16"/>
      <c r="E212" s="13"/>
      <c r="F212" s="14"/>
      <c r="G212" s="16"/>
      <c r="H212" s="17"/>
    </row>
    <row r="213" spans="1:9" x14ac:dyDescent="0.25">
      <c r="A213" s="113"/>
      <c r="B213" s="100" t="s">
        <v>22</v>
      </c>
      <c r="C213" s="23" t="s">
        <v>15</v>
      </c>
      <c r="D213" s="16">
        <v>100000</v>
      </c>
      <c r="E213" s="13">
        <f>3*2</f>
        <v>6</v>
      </c>
      <c r="F213" s="14">
        <v>2</v>
      </c>
      <c r="G213" s="16">
        <f t="shared" si="12"/>
        <v>1200000</v>
      </c>
      <c r="H213" s="17"/>
    </row>
    <row r="214" spans="1:9" x14ac:dyDescent="0.25">
      <c r="A214" s="113"/>
      <c r="B214" s="100" t="s">
        <v>118</v>
      </c>
      <c r="C214" s="23" t="s">
        <v>51</v>
      </c>
      <c r="D214" s="16">
        <v>20000</v>
      </c>
      <c r="E214" s="13">
        <v>1</v>
      </c>
      <c r="F214" s="14">
        <v>2</v>
      </c>
      <c r="G214" s="16">
        <f t="shared" si="12"/>
        <v>40000</v>
      </c>
      <c r="H214" s="17"/>
    </row>
    <row r="215" spans="1:9" x14ac:dyDescent="0.25">
      <c r="A215" s="113"/>
      <c r="B215" s="95" t="s">
        <v>79</v>
      </c>
      <c r="C215" s="53"/>
      <c r="D215" s="41"/>
      <c r="E215" s="41"/>
      <c r="F215" s="18"/>
      <c r="G215" s="20">
        <f>SUM(G208:G214)</f>
        <v>3352000</v>
      </c>
      <c r="H215" s="17"/>
      <c r="I215" s="58"/>
    </row>
    <row r="216" spans="1:9" x14ac:dyDescent="0.25">
      <c r="A216" s="113"/>
      <c r="B216" s="97" t="s">
        <v>119</v>
      </c>
      <c r="C216" s="23"/>
      <c r="D216" s="16"/>
      <c r="E216" s="16"/>
      <c r="F216" s="14"/>
      <c r="G216" s="16"/>
      <c r="H216" s="39"/>
    </row>
    <row r="217" spans="1:9" x14ac:dyDescent="0.25">
      <c r="A217" s="113"/>
      <c r="B217" s="94" t="s">
        <v>101</v>
      </c>
      <c r="C217" s="23" t="s">
        <v>42</v>
      </c>
      <c r="D217" s="16">
        <v>5600</v>
      </c>
      <c r="E217" s="13">
        <v>80</v>
      </c>
      <c r="F217" s="14">
        <v>2</v>
      </c>
      <c r="G217" s="16">
        <f>F217*E217*D217</f>
        <v>896000</v>
      </c>
      <c r="H217" s="17"/>
    </row>
    <row r="218" spans="1:9" x14ac:dyDescent="0.25">
      <c r="A218" s="113"/>
      <c r="B218" s="100" t="s">
        <v>120</v>
      </c>
      <c r="C218" s="23" t="s">
        <v>51</v>
      </c>
      <c r="D218" s="16">
        <v>100000</v>
      </c>
      <c r="E218" s="16">
        <v>12</v>
      </c>
      <c r="F218" s="14">
        <v>2</v>
      </c>
      <c r="G218" s="16">
        <f>F218*E218*D218</f>
        <v>2400000</v>
      </c>
      <c r="H218" s="17"/>
    </row>
    <row r="219" spans="1:9" x14ac:dyDescent="0.25">
      <c r="A219" s="113"/>
      <c r="B219" s="100" t="s">
        <v>117</v>
      </c>
      <c r="C219" s="23" t="s">
        <v>11</v>
      </c>
      <c r="D219" s="16">
        <v>15000</v>
      </c>
      <c r="E219" s="16">
        <v>4</v>
      </c>
      <c r="F219" s="14">
        <v>2</v>
      </c>
      <c r="G219" s="16">
        <f>F219*E219*D219</f>
        <v>120000</v>
      </c>
      <c r="H219" s="36"/>
    </row>
    <row r="220" spans="1:9" x14ac:dyDescent="0.25">
      <c r="A220" s="113"/>
      <c r="B220" s="100" t="s">
        <v>25</v>
      </c>
      <c r="C220" s="23" t="s">
        <v>121</v>
      </c>
      <c r="D220" s="16">
        <v>20000</v>
      </c>
      <c r="E220" s="16">
        <v>12</v>
      </c>
      <c r="F220" s="14">
        <v>2</v>
      </c>
      <c r="G220" s="16">
        <f>F220*E220*D220</f>
        <v>480000</v>
      </c>
      <c r="H220" s="17"/>
      <c r="I220" s="58"/>
    </row>
    <row r="221" spans="1:9" x14ac:dyDescent="0.25">
      <c r="A221" s="113"/>
      <c r="B221" s="95" t="s">
        <v>79</v>
      </c>
      <c r="C221" s="53"/>
      <c r="D221" s="41"/>
      <c r="E221" s="41"/>
      <c r="F221" s="18"/>
      <c r="G221" s="20">
        <f>SUM(G216:G220)</f>
        <v>3896000</v>
      </c>
      <c r="H221" s="17"/>
    </row>
    <row r="222" spans="1:9" ht="30" x14ac:dyDescent="0.25">
      <c r="A222" s="113"/>
      <c r="B222" s="97" t="s">
        <v>293</v>
      </c>
      <c r="C222" s="14"/>
      <c r="D222" s="17"/>
      <c r="E222" s="18"/>
      <c r="F222" s="18"/>
      <c r="G222" s="29"/>
      <c r="H222" s="39"/>
    </row>
    <row r="223" spans="1:9" x14ac:dyDescent="0.25">
      <c r="A223" s="113"/>
      <c r="B223" s="100" t="s">
        <v>122</v>
      </c>
      <c r="C223" s="14" t="s">
        <v>15</v>
      </c>
      <c r="D223" s="17">
        <v>7000</v>
      </c>
      <c r="E223" s="14">
        <v>30</v>
      </c>
      <c r="F223" s="14">
        <f t="shared" ref="F223:F228" si="13">2*2</f>
        <v>4</v>
      </c>
      <c r="G223" s="17">
        <f>D223*E223*F223</f>
        <v>840000</v>
      </c>
      <c r="H223" s="17"/>
      <c r="I223" s="58"/>
    </row>
    <row r="224" spans="1:9" x14ac:dyDescent="0.25">
      <c r="A224" s="113"/>
      <c r="B224" s="100" t="s">
        <v>123</v>
      </c>
      <c r="C224" s="14" t="s">
        <v>87</v>
      </c>
      <c r="D224" s="17">
        <v>30000</v>
      </c>
      <c r="E224" s="14">
        <v>4</v>
      </c>
      <c r="F224" s="14">
        <v>1</v>
      </c>
      <c r="G224" s="17">
        <f t="shared" ref="G224:G229" si="14">D224*E224*F224</f>
        <v>120000</v>
      </c>
      <c r="H224" s="17"/>
    </row>
    <row r="225" spans="1:8" x14ac:dyDescent="0.25">
      <c r="A225" s="113"/>
      <c r="B225" s="100" t="s">
        <v>111</v>
      </c>
      <c r="C225" s="14" t="s">
        <v>42</v>
      </c>
      <c r="D225" s="17">
        <v>5500</v>
      </c>
      <c r="E225" s="14">
        <v>80</v>
      </c>
      <c r="F225" s="14">
        <f>2</f>
        <v>2</v>
      </c>
      <c r="G225" s="17">
        <f t="shared" si="14"/>
        <v>880000</v>
      </c>
      <c r="H225" s="17"/>
    </row>
    <row r="226" spans="1:8" x14ac:dyDescent="0.25">
      <c r="A226" s="113"/>
      <c r="B226" s="100" t="s">
        <v>124</v>
      </c>
      <c r="C226" s="14" t="s">
        <v>15</v>
      </c>
      <c r="D226" s="17">
        <v>40000</v>
      </c>
      <c r="E226" s="14">
        <v>30</v>
      </c>
      <c r="F226" s="14">
        <f t="shared" si="13"/>
        <v>4</v>
      </c>
      <c r="G226" s="17">
        <f t="shared" si="14"/>
        <v>4800000</v>
      </c>
      <c r="H226" s="17"/>
    </row>
    <row r="227" spans="1:8" x14ac:dyDescent="0.25">
      <c r="A227" s="113"/>
      <c r="B227" s="100" t="s">
        <v>125</v>
      </c>
      <c r="C227" s="14" t="s">
        <v>30</v>
      </c>
      <c r="D227" s="17">
        <v>120000</v>
      </c>
      <c r="E227" s="14">
        <v>1</v>
      </c>
      <c r="F227" s="14">
        <f t="shared" si="13"/>
        <v>4</v>
      </c>
      <c r="G227" s="17">
        <f t="shared" si="14"/>
        <v>480000</v>
      </c>
      <c r="H227" s="17"/>
    </row>
    <row r="228" spans="1:8" x14ac:dyDescent="0.25">
      <c r="A228" s="113"/>
      <c r="B228" s="100" t="s">
        <v>126</v>
      </c>
      <c r="C228" s="14" t="s">
        <v>87</v>
      </c>
      <c r="D228" s="17">
        <v>150000</v>
      </c>
      <c r="E228" s="14">
        <v>1</v>
      </c>
      <c r="F228" s="14">
        <f t="shared" si="13"/>
        <v>4</v>
      </c>
      <c r="G228" s="17">
        <f t="shared" si="14"/>
        <v>600000</v>
      </c>
      <c r="H228" s="17"/>
    </row>
    <row r="229" spans="1:8" x14ac:dyDescent="0.25">
      <c r="A229" s="113"/>
      <c r="B229" s="100" t="s">
        <v>127</v>
      </c>
      <c r="C229" s="14" t="s">
        <v>15</v>
      </c>
      <c r="D229" s="17">
        <v>100000</v>
      </c>
      <c r="E229" s="14">
        <v>3</v>
      </c>
      <c r="F229" s="14">
        <f>2*4</f>
        <v>8</v>
      </c>
      <c r="G229" s="17">
        <f t="shared" si="14"/>
        <v>2400000</v>
      </c>
      <c r="H229" s="17"/>
    </row>
    <row r="230" spans="1:8" x14ac:dyDescent="0.25">
      <c r="A230" s="113"/>
      <c r="B230" s="95" t="s">
        <v>79</v>
      </c>
      <c r="C230" s="53"/>
      <c r="D230" s="41"/>
      <c r="E230" s="41"/>
      <c r="F230" s="18"/>
      <c r="G230" s="20">
        <f>SUM(G222:G229)</f>
        <v>10120000</v>
      </c>
      <c r="H230" s="17"/>
    </row>
    <row r="231" spans="1:8" x14ac:dyDescent="0.25">
      <c r="A231" s="113"/>
      <c r="B231" s="65" t="s">
        <v>128</v>
      </c>
      <c r="C231" s="19"/>
      <c r="D231" s="20"/>
      <c r="E231" s="21"/>
      <c r="F231" s="18"/>
      <c r="G231" s="20">
        <f>G197+G201+G206+G215+G221+G230</f>
        <v>30888000</v>
      </c>
      <c r="H231" s="29"/>
    </row>
    <row r="232" spans="1:8" x14ac:dyDescent="0.25">
      <c r="A232" s="113"/>
      <c r="B232" s="110" t="s">
        <v>154</v>
      </c>
      <c r="C232" s="92"/>
      <c r="D232" s="92"/>
      <c r="E232" s="92"/>
      <c r="F232" s="92"/>
      <c r="G232" s="92"/>
      <c r="H232" s="78"/>
    </row>
    <row r="233" spans="1:8" x14ac:dyDescent="0.25">
      <c r="A233" s="113"/>
      <c r="B233" s="100"/>
      <c r="C233" s="14" t="s">
        <v>20</v>
      </c>
      <c r="D233" s="17">
        <v>4000000</v>
      </c>
      <c r="E233" s="14">
        <v>1</v>
      </c>
      <c r="F233" s="14">
        <v>12</v>
      </c>
      <c r="G233" s="17">
        <f t="shared" ref="G233:G256" si="15">D233*E233*F233</f>
        <v>48000000</v>
      </c>
      <c r="H233" s="29"/>
    </row>
    <row r="234" spans="1:8" x14ac:dyDescent="0.25">
      <c r="A234" s="113"/>
      <c r="B234" s="94"/>
      <c r="C234" s="14" t="s">
        <v>15</v>
      </c>
      <c r="D234" s="17">
        <v>702000</v>
      </c>
      <c r="E234" s="14">
        <v>1</v>
      </c>
      <c r="F234" s="14">
        <v>12</v>
      </c>
      <c r="G234" s="17">
        <f t="shared" si="15"/>
        <v>8424000</v>
      </c>
      <c r="H234" s="29"/>
    </row>
    <row r="235" spans="1:8" x14ac:dyDescent="0.25">
      <c r="A235" s="113"/>
      <c r="B235" s="94"/>
      <c r="C235" s="14"/>
      <c r="D235" s="17">
        <v>1500000</v>
      </c>
      <c r="E235" s="14">
        <v>1</v>
      </c>
      <c r="F235" s="14">
        <v>12</v>
      </c>
      <c r="G235" s="17">
        <f t="shared" si="15"/>
        <v>18000000</v>
      </c>
      <c r="H235" s="29"/>
    </row>
    <row r="236" spans="1:8" x14ac:dyDescent="0.25">
      <c r="A236" s="113"/>
      <c r="B236" s="94"/>
      <c r="C236" s="14"/>
      <c r="D236" s="17">
        <v>3500000</v>
      </c>
      <c r="E236" s="14">
        <v>1</v>
      </c>
      <c r="F236" s="14">
        <v>12</v>
      </c>
      <c r="G236" s="17">
        <f t="shared" si="15"/>
        <v>42000000</v>
      </c>
      <c r="H236" s="29"/>
    </row>
    <row r="237" spans="1:8" x14ac:dyDescent="0.25">
      <c r="A237" s="113"/>
      <c r="B237" s="94"/>
      <c r="C237" s="14"/>
      <c r="D237" s="17">
        <v>2500000</v>
      </c>
      <c r="E237" s="14">
        <v>1</v>
      </c>
      <c r="F237" s="14">
        <v>12</v>
      </c>
      <c r="G237" s="17">
        <f t="shared" si="15"/>
        <v>30000000</v>
      </c>
      <c r="H237" s="29"/>
    </row>
    <row r="238" spans="1:8" x14ac:dyDescent="0.25">
      <c r="A238" s="113"/>
      <c r="B238" s="94"/>
      <c r="C238" s="14" t="s">
        <v>15</v>
      </c>
      <c r="D238" s="17">
        <v>700000</v>
      </c>
      <c r="E238" s="14">
        <v>1</v>
      </c>
      <c r="F238" s="14">
        <v>12</v>
      </c>
      <c r="G238" s="17">
        <f>D238*E238*F238</f>
        <v>8400000</v>
      </c>
      <c r="H238" s="29"/>
    </row>
    <row r="239" spans="1:8" ht="30" x14ac:dyDescent="0.25">
      <c r="A239" s="113"/>
      <c r="B239" s="94" t="s">
        <v>129</v>
      </c>
      <c r="C239" s="14" t="s">
        <v>130</v>
      </c>
      <c r="D239" s="17">
        <f>(D233+D234+D235+D236+D237+D238)*10/100</f>
        <v>1290200</v>
      </c>
      <c r="E239" s="14">
        <v>1</v>
      </c>
      <c r="F239" s="14">
        <v>12</v>
      </c>
      <c r="G239" s="17">
        <f t="shared" si="15"/>
        <v>15482400</v>
      </c>
      <c r="H239" s="29"/>
    </row>
    <row r="240" spans="1:8" x14ac:dyDescent="0.25">
      <c r="A240" s="113"/>
      <c r="B240" s="97" t="s">
        <v>299</v>
      </c>
      <c r="C240" s="14"/>
      <c r="D240" s="17"/>
      <c r="E240" s="14"/>
      <c r="F240" s="14"/>
      <c r="G240" s="29">
        <f>SUM(G233:G239)</f>
        <v>170306400</v>
      </c>
      <c r="H240" s="29"/>
    </row>
    <row r="241" spans="1:8" x14ac:dyDescent="0.25">
      <c r="A241" s="113"/>
      <c r="B241" s="94"/>
      <c r="C241" s="14"/>
      <c r="D241" s="17"/>
      <c r="E241" s="14"/>
      <c r="F241" s="14"/>
      <c r="G241" s="17"/>
      <c r="H241" s="29"/>
    </row>
    <row r="242" spans="1:8" x14ac:dyDescent="0.25">
      <c r="A242" s="113"/>
      <c r="B242" s="94" t="s">
        <v>295</v>
      </c>
      <c r="C242" s="14" t="s">
        <v>298</v>
      </c>
      <c r="D242" s="17"/>
      <c r="E242" s="14"/>
      <c r="F242" s="14"/>
      <c r="G242" s="17">
        <f>D242*E242*F242</f>
        <v>0</v>
      </c>
      <c r="H242" s="29"/>
    </row>
    <row r="243" spans="1:8" x14ac:dyDescent="0.25">
      <c r="A243" s="113"/>
      <c r="B243" s="94" t="s">
        <v>297</v>
      </c>
      <c r="C243" s="14" t="s">
        <v>298</v>
      </c>
      <c r="D243" s="17"/>
      <c r="E243" s="14"/>
      <c r="F243" s="14"/>
      <c r="G243" s="17">
        <f t="shared" ref="G243:G244" si="16">D243*E243*F243</f>
        <v>0</v>
      </c>
      <c r="H243" s="29"/>
    </row>
    <row r="244" spans="1:8" x14ac:dyDescent="0.25">
      <c r="A244" s="113"/>
      <c r="B244" s="94" t="s">
        <v>296</v>
      </c>
      <c r="C244" s="14" t="s">
        <v>298</v>
      </c>
      <c r="D244" s="17"/>
      <c r="E244" s="14"/>
      <c r="F244" s="14"/>
      <c r="G244" s="17">
        <f t="shared" si="16"/>
        <v>0</v>
      </c>
      <c r="H244" s="29"/>
    </row>
    <row r="245" spans="1:8" x14ac:dyDescent="0.25">
      <c r="A245" s="113"/>
      <c r="B245" s="97" t="s">
        <v>299</v>
      </c>
      <c r="C245" s="18"/>
      <c r="D245" s="29"/>
      <c r="E245" s="18"/>
      <c r="F245" s="18"/>
      <c r="G245" s="29">
        <f>SUM(G242:G244)</f>
        <v>0</v>
      </c>
      <c r="H245" s="29"/>
    </row>
    <row r="246" spans="1:8" x14ac:dyDescent="0.25">
      <c r="A246" s="113"/>
      <c r="B246" s="94"/>
      <c r="C246" s="14"/>
      <c r="D246" s="17"/>
      <c r="E246" s="14"/>
      <c r="F246" s="14"/>
      <c r="G246" s="17"/>
      <c r="H246" s="29"/>
    </row>
    <row r="247" spans="1:8" x14ac:dyDescent="0.25">
      <c r="A247" s="113"/>
      <c r="B247" s="111" t="s">
        <v>155</v>
      </c>
      <c r="C247" s="76"/>
      <c r="D247" s="77"/>
      <c r="E247" s="76"/>
      <c r="F247" s="76"/>
      <c r="G247" s="77"/>
      <c r="H247" s="78"/>
    </row>
    <row r="248" spans="1:8" x14ac:dyDescent="0.25">
      <c r="A248" s="113"/>
      <c r="B248" s="94" t="s">
        <v>131</v>
      </c>
      <c r="C248" s="14" t="s">
        <v>130</v>
      </c>
      <c r="D248" s="17">
        <v>100000</v>
      </c>
      <c r="E248" s="14">
        <v>1</v>
      </c>
      <c r="F248" s="14">
        <v>12</v>
      </c>
      <c r="G248" s="17">
        <f t="shared" si="15"/>
        <v>1200000</v>
      </c>
      <c r="H248" s="29"/>
    </row>
    <row r="249" spans="1:8" x14ac:dyDescent="0.25">
      <c r="A249" s="113"/>
      <c r="B249" s="94" t="s">
        <v>132</v>
      </c>
      <c r="C249" s="14" t="s">
        <v>130</v>
      </c>
      <c r="D249" s="17">
        <v>100000</v>
      </c>
      <c r="E249" s="14">
        <v>1</v>
      </c>
      <c r="F249" s="14">
        <v>12</v>
      </c>
      <c r="G249" s="17">
        <f t="shared" si="15"/>
        <v>1200000</v>
      </c>
      <c r="H249" s="36"/>
    </row>
    <row r="250" spans="1:8" x14ac:dyDescent="0.25">
      <c r="A250" s="113"/>
      <c r="B250" s="94" t="s">
        <v>103</v>
      </c>
      <c r="C250" s="14" t="s">
        <v>130</v>
      </c>
      <c r="D250" s="17">
        <v>50000</v>
      </c>
      <c r="E250" s="14">
        <v>1</v>
      </c>
      <c r="F250" s="14">
        <v>12</v>
      </c>
      <c r="G250" s="17">
        <f t="shared" si="15"/>
        <v>600000</v>
      </c>
      <c r="H250" s="36"/>
    </row>
    <row r="251" spans="1:8" ht="30" x14ac:dyDescent="0.25">
      <c r="A251" s="113"/>
      <c r="B251" s="94" t="s">
        <v>133</v>
      </c>
      <c r="C251" s="14" t="s">
        <v>130</v>
      </c>
      <c r="D251" s="17">
        <v>300000</v>
      </c>
      <c r="E251" s="14">
        <v>2</v>
      </c>
      <c r="F251" s="14">
        <v>12</v>
      </c>
      <c r="G251" s="17">
        <f>D251*E251*F251</f>
        <v>7200000</v>
      </c>
      <c r="H251" s="36"/>
    </row>
    <row r="252" spans="1:8" x14ac:dyDescent="0.25">
      <c r="A252" s="113"/>
      <c r="B252" s="94" t="s">
        <v>156</v>
      </c>
      <c r="C252" s="14" t="s">
        <v>130</v>
      </c>
      <c r="D252" s="17">
        <v>1500000</v>
      </c>
      <c r="E252" s="14">
        <v>1</v>
      </c>
      <c r="F252" s="14">
        <v>12</v>
      </c>
      <c r="G252" s="17">
        <f>D252*E252*F252</f>
        <v>18000000</v>
      </c>
      <c r="H252" s="36"/>
    </row>
    <row r="253" spans="1:8" x14ac:dyDescent="0.25">
      <c r="A253" s="113"/>
      <c r="B253" s="94" t="s">
        <v>300</v>
      </c>
      <c r="C253" s="14" t="s">
        <v>130</v>
      </c>
      <c r="D253" s="17">
        <v>300000</v>
      </c>
      <c r="E253" s="14">
        <v>1</v>
      </c>
      <c r="F253" s="14">
        <v>12</v>
      </c>
      <c r="G253" s="17">
        <f t="shared" ref="G253:G255" si="17">D253*E253*F253</f>
        <v>3600000</v>
      </c>
      <c r="H253" s="36"/>
    </row>
    <row r="254" spans="1:8" x14ac:dyDescent="0.25">
      <c r="A254" s="113"/>
      <c r="B254" s="94" t="s">
        <v>301</v>
      </c>
      <c r="C254" s="14" t="s">
        <v>130</v>
      </c>
      <c r="D254" s="17">
        <v>250000</v>
      </c>
      <c r="E254" s="14">
        <v>1</v>
      </c>
      <c r="F254" s="14">
        <v>12</v>
      </c>
      <c r="G254" s="17">
        <f t="shared" si="17"/>
        <v>3000000</v>
      </c>
      <c r="H254" s="36"/>
    </row>
    <row r="255" spans="1:8" x14ac:dyDescent="0.25">
      <c r="A255" s="113"/>
      <c r="B255" s="94" t="s">
        <v>302</v>
      </c>
      <c r="C255" s="14" t="s">
        <v>130</v>
      </c>
      <c r="D255" s="17">
        <v>200000</v>
      </c>
      <c r="E255" s="14">
        <v>1</v>
      </c>
      <c r="F255" s="14">
        <v>12</v>
      </c>
      <c r="G255" s="17">
        <f t="shared" si="17"/>
        <v>2400000</v>
      </c>
      <c r="H255" s="36"/>
    </row>
    <row r="256" spans="1:8" ht="45" x14ac:dyDescent="0.25">
      <c r="A256" s="113"/>
      <c r="B256" s="94" t="s">
        <v>134</v>
      </c>
      <c r="C256" s="14" t="s">
        <v>130</v>
      </c>
      <c r="D256" s="17">
        <v>319800</v>
      </c>
      <c r="E256" s="14">
        <v>1</v>
      </c>
      <c r="F256" s="14">
        <v>12</v>
      </c>
      <c r="G256" s="17">
        <f t="shared" si="15"/>
        <v>3837600</v>
      </c>
      <c r="H256" s="29"/>
    </row>
    <row r="257" spans="1:9" ht="30" x14ac:dyDescent="0.25">
      <c r="A257" s="113"/>
      <c r="B257" s="97" t="s">
        <v>135</v>
      </c>
      <c r="C257" s="14"/>
      <c r="D257" s="17"/>
      <c r="E257" s="14"/>
      <c r="F257" s="14"/>
      <c r="G257" s="29">
        <f>SUM(G233:G256)</f>
        <v>381650400</v>
      </c>
      <c r="H257" s="29"/>
      <c r="I257" s="62"/>
    </row>
    <row r="258" spans="1:9" x14ac:dyDescent="0.25">
      <c r="A258" s="113"/>
      <c r="B258" s="112" t="s">
        <v>136</v>
      </c>
      <c r="C258" s="67"/>
      <c r="D258" s="68"/>
      <c r="E258" s="69"/>
      <c r="F258" s="70"/>
      <c r="G258" s="72">
        <f>G55+G94+G191+G231+G240+G245+G257</f>
        <v>644619800</v>
      </c>
      <c r="H258" s="71"/>
    </row>
    <row r="259" spans="1:9" x14ac:dyDescent="0.25">
      <c r="C259" s="42"/>
      <c r="D259" s="43"/>
      <c r="E259" s="44"/>
      <c r="G259" s="43"/>
      <c r="H259" s="63"/>
    </row>
    <row r="260" spans="1:9" x14ac:dyDescent="0.25">
      <c r="H260" s="60"/>
    </row>
  </sheetData>
  <mergeCells count="19">
    <mergeCell ref="B160:G160"/>
    <mergeCell ref="B177:G177"/>
    <mergeCell ref="B186:G186"/>
    <mergeCell ref="B232:G232"/>
    <mergeCell ref="B96:H96"/>
    <mergeCell ref="B97:H97"/>
    <mergeCell ref="B131:G131"/>
    <mergeCell ref="B143:G143"/>
    <mergeCell ref="B81:H81"/>
    <mergeCell ref="C2:G2"/>
    <mergeCell ref="C3:H3"/>
    <mergeCell ref="C4:G4"/>
    <mergeCell ref="B7:H7"/>
    <mergeCell ref="B8:G8"/>
    <mergeCell ref="B16:G16"/>
    <mergeCell ref="B44:G44"/>
    <mergeCell ref="B57:H57"/>
    <mergeCell ref="B58:H58"/>
    <mergeCell ref="B65:H65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Ochora Lagedo, Emmanuel GIZ UG</dc:creator>
  <cp:lastModifiedBy>Godfrey Ovuru</cp:lastModifiedBy>
  <dcterms:created xsi:type="dcterms:W3CDTF">2025-05-30T11:00:05Z</dcterms:created>
  <dcterms:modified xsi:type="dcterms:W3CDTF">2026-09-15T08:25:01Z</dcterms:modified>
</cp:coreProperties>
</file>