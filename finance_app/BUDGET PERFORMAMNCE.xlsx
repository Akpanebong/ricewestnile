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O Back up 2023\BACK UP 2019 -2023\Desktop\DESTOP\SOFTWARE BY AKPAN\"/>
    </mc:Choice>
  </mc:AlternateContent>
  <xr:revisionPtr revIDLastSave="0" documentId="13_ncr:1_{0D3765E3-0D6A-4E0E-9892-1D49FCE433AD}" xr6:coauthVersionLast="47" xr6:coauthVersionMax="47" xr10:uidLastSave="{00000000-0000-0000-0000-000000000000}"/>
  <bookViews>
    <workbookView xWindow="-120" yWindow="-120" windowWidth="20730" windowHeight="11160" xr2:uid="{4915F8BD-F806-4018-9B92-9CE9FFB77A0A}"/>
  </bookViews>
  <sheets>
    <sheet name="MONTHLY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J34" i="1"/>
  <c r="J33" i="1"/>
  <c r="I34" i="1"/>
  <c r="I35" i="1"/>
  <c r="H34" i="1"/>
  <c r="H35" i="1"/>
  <c r="G34" i="1"/>
  <c r="G35" i="1"/>
  <c r="F36" i="1"/>
  <c r="I36" i="1" s="1"/>
  <c r="E36" i="1"/>
  <c r="D36" i="1"/>
  <c r="J36" i="1" s="1"/>
  <c r="I86" i="1" l="1"/>
  <c r="J86" i="1"/>
  <c r="J81" i="1"/>
  <c r="J82" i="1"/>
  <c r="J83" i="1"/>
  <c r="J80" i="1"/>
  <c r="I81" i="1"/>
  <c r="I82" i="1"/>
  <c r="I83" i="1"/>
  <c r="I80" i="1"/>
  <c r="J72" i="1"/>
  <c r="J74" i="1"/>
  <c r="J76" i="1"/>
  <c r="J67" i="1"/>
  <c r="I72" i="1"/>
  <c r="I73" i="1"/>
  <c r="I74" i="1"/>
  <c r="I75" i="1"/>
  <c r="I76" i="1"/>
  <c r="I71" i="1"/>
  <c r="I67" i="1"/>
  <c r="J62" i="1"/>
  <c r="J63" i="1"/>
  <c r="J64" i="1"/>
  <c r="J61" i="1"/>
  <c r="G62" i="1"/>
  <c r="G63" i="1"/>
  <c r="G64" i="1"/>
  <c r="G61" i="1"/>
  <c r="G54" i="1"/>
  <c r="G55" i="1"/>
  <c r="G56" i="1"/>
  <c r="G57" i="1"/>
  <c r="G58" i="1"/>
  <c r="G53" i="1"/>
  <c r="J54" i="1"/>
  <c r="J55" i="1"/>
  <c r="J56" i="1"/>
  <c r="J57" i="1"/>
  <c r="J58" i="1"/>
  <c r="J53" i="1"/>
  <c r="J48" i="1"/>
  <c r="J49" i="1"/>
  <c r="J50" i="1"/>
  <c r="J47" i="1"/>
  <c r="I48" i="1"/>
  <c r="I49" i="1"/>
  <c r="I50" i="1"/>
  <c r="I47" i="1"/>
  <c r="J40" i="1"/>
  <c r="J41" i="1"/>
  <c r="J42" i="1"/>
  <c r="J44" i="1"/>
  <c r="J39" i="1"/>
  <c r="I40" i="1"/>
  <c r="I41" i="1"/>
  <c r="I42" i="1"/>
  <c r="I44" i="1"/>
  <c r="I39" i="1"/>
  <c r="J28" i="1"/>
  <c r="J29" i="1"/>
  <c r="J30" i="1"/>
  <c r="J27" i="1"/>
  <c r="I28" i="1"/>
  <c r="I29" i="1"/>
  <c r="I30" i="1"/>
  <c r="I27" i="1"/>
  <c r="J24" i="1"/>
  <c r="J23" i="1"/>
  <c r="I24" i="1"/>
  <c r="I23" i="1"/>
  <c r="J20" i="1"/>
  <c r="J19" i="1"/>
  <c r="I20" i="1"/>
  <c r="I19" i="1"/>
  <c r="I16" i="1"/>
  <c r="H8" i="1"/>
  <c r="J14" i="1"/>
  <c r="J15" i="1"/>
  <c r="J16" i="1"/>
  <c r="J13" i="1"/>
  <c r="I14" i="1"/>
  <c r="I15" i="1"/>
  <c r="I13" i="1"/>
  <c r="J9" i="1"/>
  <c r="J10" i="1"/>
  <c r="J8" i="1"/>
  <c r="I9" i="1"/>
  <c r="I10" i="1"/>
  <c r="I8" i="1"/>
  <c r="H67" i="1"/>
  <c r="G67" i="1"/>
  <c r="G68" i="1" s="1"/>
  <c r="G39" i="1"/>
  <c r="H29" i="1"/>
  <c r="H33" i="1"/>
  <c r="H36" i="1" s="1"/>
  <c r="H39" i="1"/>
  <c r="G28" i="1"/>
  <c r="G29" i="1"/>
  <c r="G30" i="1"/>
  <c r="G27" i="1"/>
  <c r="F31" i="1"/>
  <c r="F84" i="1"/>
  <c r="G31" i="1" l="1"/>
  <c r="G59" i="1"/>
  <c r="G19" i="1" l="1"/>
  <c r="H19" i="1"/>
  <c r="G14" i="1"/>
  <c r="G15" i="1"/>
  <c r="G16" i="1"/>
  <c r="G13" i="1"/>
  <c r="G8" i="1"/>
  <c r="G17" i="1" l="1"/>
  <c r="G86" i="1"/>
  <c r="G87" i="1" s="1"/>
  <c r="H80" i="1"/>
  <c r="G81" i="1"/>
  <c r="G82" i="1"/>
  <c r="G83" i="1"/>
  <c r="G80" i="1"/>
  <c r="G72" i="1"/>
  <c r="G73" i="1"/>
  <c r="G74" i="1"/>
  <c r="G75" i="1"/>
  <c r="G76" i="1"/>
  <c r="G71" i="1"/>
  <c r="H86" i="1" l="1"/>
  <c r="H87" i="1" s="1"/>
  <c r="H81" i="1"/>
  <c r="H82" i="1"/>
  <c r="H83" i="1"/>
  <c r="H76" i="1"/>
  <c r="H72" i="1"/>
  <c r="H74" i="1"/>
  <c r="H68" i="1"/>
  <c r="H62" i="1"/>
  <c r="H63" i="1"/>
  <c r="H64" i="1"/>
  <c r="H61" i="1"/>
  <c r="H54" i="1"/>
  <c r="H55" i="1"/>
  <c r="H56" i="1"/>
  <c r="H57" i="1"/>
  <c r="H58" i="1"/>
  <c r="H53" i="1"/>
  <c r="H48" i="1"/>
  <c r="H49" i="1"/>
  <c r="H50" i="1"/>
  <c r="H47" i="1"/>
  <c r="H40" i="1"/>
  <c r="H41" i="1"/>
  <c r="H42" i="1"/>
  <c r="H43" i="1"/>
  <c r="H44" i="1"/>
  <c r="H28" i="1"/>
  <c r="H30" i="1"/>
  <c r="H27" i="1"/>
  <c r="H24" i="1"/>
  <c r="H23" i="1"/>
  <c r="H20" i="1"/>
  <c r="H21" i="1" s="1"/>
  <c r="H14" i="1"/>
  <c r="H15" i="1"/>
  <c r="H16" i="1"/>
  <c r="H13" i="1"/>
  <c r="H9" i="1"/>
  <c r="H10" i="1"/>
  <c r="H11" i="1" s="1"/>
  <c r="F68" i="1"/>
  <c r="E68" i="1"/>
  <c r="E21" i="1"/>
  <c r="E87" i="1"/>
  <c r="F87" i="1"/>
  <c r="E84" i="1"/>
  <c r="I84" i="1" s="1"/>
  <c r="E77" i="1"/>
  <c r="F77" i="1"/>
  <c r="E65" i="1"/>
  <c r="F65" i="1"/>
  <c r="G65" i="1"/>
  <c r="E59" i="1"/>
  <c r="F59" i="1"/>
  <c r="E51" i="1"/>
  <c r="F51" i="1"/>
  <c r="E45" i="1"/>
  <c r="E31" i="1"/>
  <c r="I31" i="1" s="1"/>
  <c r="E25" i="1"/>
  <c r="F25" i="1"/>
  <c r="F21" i="1"/>
  <c r="E17" i="1"/>
  <c r="F17" i="1"/>
  <c r="F11" i="1"/>
  <c r="E11" i="1"/>
  <c r="E89" i="1" l="1"/>
  <c r="H59" i="1"/>
  <c r="H45" i="1"/>
  <c r="H84" i="1"/>
  <c r="H25" i="1"/>
  <c r="H65" i="1"/>
  <c r="H31" i="1"/>
  <c r="H17" i="1"/>
  <c r="H51" i="1"/>
  <c r="I17" i="1"/>
  <c r="I77" i="1"/>
  <c r="I68" i="1"/>
  <c r="I87" i="1"/>
  <c r="I21" i="1"/>
  <c r="I25" i="1"/>
  <c r="I51" i="1"/>
  <c r="I11" i="1"/>
  <c r="D75" i="1" l="1"/>
  <c r="D73" i="1"/>
  <c r="D71" i="1"/>
  <c r="D84" i="1"/>
  <c r="J84" i="1" s="1"/>
  <c r="D68" i="1"/>
  <c r="J68" i="1" s="1"/>
  <c r="D65" i="1"/>
  <c r="J65" i="1" s="1"/>
  <c r="D59" i="1"/>
  <c r="J59" i="1" s="1"/>
  <c r="D51" i="1"/>
  <c r="J51" i="1" s="1"/>
  <c r="D31" i="1"/>
  <c r="J31" i="1" s="1"/>
  <c r="D11" i="1"/>
  <c r="I33" i="1"/>
  <c r="G9" i="1"/>
  <c r="G10" i="1"/>
  <c r="G12" i="1"/>
  <c r="G18" i="1"/>
  <c r="G20" i="1"/>
  <c r="G21" i="1" s="1"/>
  <c r="G22" i="1"/>
  <c r="G23" i="1"/>
  <c r="G24" i="1"/>
  <c r="G33" i="1"/>
  <c r="G36" i="1" s="1"/>
  <c r="G37" i="1"/>
  <c r="G38" i="1"/>
  <c r="G40" i="1"/>
  <c r="G41" i="1"/>
  <c r="G42" i="1"/>
  <c r="G44" i="1"/>
  <c r="G46" i="1"/>
  <c r="G47" i="1"/>
  <c r="G48" i="1"/>
  <c r="G49" i="1"/>
  <c r="G50" i="1"/>
  <c r="G70" i="1"/>
  <c r="G79" i="1"/>
  <c r="G85" i="1"/>
  <c r="G88" i="1"/>
  <c r="J75" i="1" l="1"/>
  <c r="H75" i="1"/>
  <c r="G77" i="1"/>
  <c r="J71" i="1"/>
  <c r="H71" i="1"/>
  <c r="J11" i="1"/>
  <c r="J73" i="1"/>
  <c r="H73" i="1"/>
  <c r="G51" i="1"/>
  <c r="G25" i="1"/>
  <c r="G11" i="1"/>
  <c r="G84" i="1"/>
  <c r="D77" i="1"/>
  <c r="J77" i="1" s="1"/>
  <c r="F43" i="1"/>
  <c r="H77" i="1" l="1"/>
  <c r="H89" i="1" s="1"/>
  <c r="I43" i="1"/>
  <c r="J43" i="1"/>
  <c r="F45" i="1"/>
  <c r="F89" i="1" s="1"/>
  <c r="G43" i="1"/>
  <c r="G45" i="1" s="1"/>
  <c r="G89" i="1" s="1"/>
  <c r="D45" i="1"/>
  <c r="D87" i="1"/>
  <c r="J87" i="1" s="1"/>
  <c r="I89" i="1" l="1"/>
  <c r="I45" i="1"/>
  <c r="J45" i="1"/>
  <c r="D25" i="1"/>
  <c r="J25" i="1" s="1"/>
  <c r="D21" i="1"/>
  <c r="J21" i="1" s="1"/>
  <c r="D17" i="1"/>
  <c r="D89" i="1" s="1"/>
  <c r="J89" i="1" s="1"/>
  <c r="J17" i="1" l="1"/>
</calcChain>
</file>

<file path=xl/sharedStrings.xml><?xml version="1.0" encoding="utf-8"?>
<sst xmlns="http://schemas.openxmlformats.org/spreadsheetml/2006/main" count="92" uniqueCount="79">
  <si>
    <t>RURAL INITIATIVE FOR COMMUNITY EMPOWERMENT WEST NILE</t>
  </si>
  <si>
    <t xml:space="preserve">Conducting Pre Project Meeting </t>
  </si>
  <si>
    <t>Activity</t>
  </si>
  <si>
    <t>Budget</t>
  </si>
  <si>
    <t>Expenditures</t>
  </si>
  <si>
    <t xml:space="preserve">Variance </t>
  </si>
  <si>
    <t>Sub - total</t>
  </si>
  <si>
    <t>Training: Mobilisation</t>
  </si>
  <si>
    <t>Training: Lunch</t>
  </si>
  <si>
    <t>Training: Stationery</t>
  </si>
  <si>
    <t>Training: Home to Home information</t>
  </si>
  <si>
    <t>Surveys</t>
  </si>
  <si>
    <t>Baseline</t>
  </si>
  <si>
    <t>GRAND TOTAL</t>
  </si>
  <si>
    <t>Comment</t>
  </si>
  <si>
    <t>Code</t>
  </si>
  <si>
    <t xml:space="preserve">Lead farmer Requirements </t>
  </si>
  <si>
    <t>Facilitation LF for visiting farmers 1x/month</t>
  </si>
  <si>
    <t>Absorption Rate</t>
  </si>
  <si>
    <t>Burn Rate(against Receipt)</t>
  </si>
  <si>
    <t>Funds balance with the Donor</t>
  </si>
  <si>
    <t>Funds Received</t>
  </si>
  <si>
    <t>PROJECT NAME:</t>
  </si>
  <si>
    <t>1.1.1</t>
  </si>
  <si>
    <t>1.1.2</t>
  </si>
  <si>
    <t>1.1.3</t>
  </si>
  <si>
    <t>2.1.1</t>
  </si>
  <si>
    <t>2.1.2</t>
  </si>
  <si>
    <t>2.1.3</t>
  </si>
  <si>
    <t>2.1.4</t>
  </si>
  <si>
    <t xml:space="preserve">Farmer training </t>
  </si>
  <si>
    <t>3.1.1</t>
  </si>
  <si>
    <t>6.1.1</t>
  </si>
  <si>
    <t>3.1.2</t>
  </si>
  <si>
    <t>4.1.1</t>
  </si>
  <si>
    <t>4.1.2</t>
  </si>
  <si>
    <t xml:space="preserve">Trainer costs </t>
  </si>
  <si>
    <t>5.1.1</t>
  </si>
  <si>
    <t>5.1.2</t>
  </si>
  <si>
    <t>5.1.3</t>
  </si>
  <si>
    <t>5.1.4</t>
  </si>
  <si>
    <t>6.1.2</t>
  </si>
  <si>
    <t>6.1.3</t>
  </si>
  <si>
    <t>7.1.1</t>
  </si>
  <si>
    <t>7.1.2</t>
  </si>
  <si>
    <t>7.1.3</t>
  </si>
  <si>
    <t>7.1.4</t>
  </si>
  <si>
    <t>7.1.5</t>
  </si>
  <si>
    <t>7.1.6</t>
  </si>
  <si>
    <t>8.1.1</t>
  </si>
  <si>
    <t>8.1.2</t>
  </si>
  <si>
    <t>8.1.3</t>
  </si>
  <si>
    <t>8.1.4</t>
  </si>
  <si>
    <t>9.1.1</t>
  </si>
  <si>
    <t>9.1.6</t>
  </si>
  <si>
    <t>9.1.2</t>
  </si>
  <si>
    <t>9.1.3</t>
  </si>
  <si>
    <t>9.1.4</t>
  </si>
  <si>
    <t>9.1.5</t>
  </si>
  <si>
    <t>10.1.1</t>
  </si>
  <si>
    <t>10.1.2</t>
  </si>
  <si>
    <t>10.1.3</t>
  </si>
  <si>
    <t>10.1.4</t>
  </si>
  <si>
    <t>11.1.1</t>
  </si>
  <si>
    <t>12.1.1</t>
  </si>
  <si>
    <t>12.1.2</t>
  </si>
  <si>
    <t>12.1.3</t>
  </si>
  <si>
    <t>12.1.4</t>
  </si>
  <si>
    <t>12.1.5</t>
  </si>
  <si>
    <t>12.1.6</t>
  </si>
  <si>
    <t>Personnel Costs</t>
  </si>
  <si>
    <t>13.1.1</t>
  </si>
  <si>
    <t>13.1.2</t>
  </si>
  <si>
    <t>13.1.3</t>
  </si>
  <si>
    <t>13.1.4</t>
  </si>
  <si>
    <t>Contribution to Admin costs</t>
  </si>
  <si>
    <t>14.1.1</t>
  </si>
  <si>
    <t>PERIOD: THE MONTH OF….............................</t>
  </si>
  <si>
    <t>MONTHLY CUMMULATIVE BUDGET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</si>
</sst>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1" fontId="0" fillId="0" borderId="0" xfId="1" applyFont="1"/>
    <xf numFmtId="41" fontId="0" fillId="0" borderId="0" xfId="0" applyNumberFormat="1"/>
    <xf numFmtId="3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41" fontId="0" fillId="0" borderId="1" xfId="1" applyFont="1" applyBorder="1"/>
    <xf numFmtId="0" fontId="0" fillId="0" borderId="1" xfId="0" applyBorder="1"/>
    <xf numFmtId="41" fontId="0" fillId="0" borderId="1" xfId="0" applyNumberFormat="1" applyBorder="1"/>
    <xf numFmtId="9" fontId="0" fillId="0" borderId="1" xfId="2" applyFont="1" applyBorder="1"/>
    <xf numFmtId="41" fontId="2" fillId="0" borderId="1" xfId="1" applyFont="1" applyBorder="1"/>
    <xf numFmtId="41" fontId="2" fillId="0" borderId="1" xfId="0" applyNumberFormat="1" applyFont="1" applyBorder="1"/>
    <xf numFmtId="3" fontId="2" fillId="0" borderId="1" xfId="0" applyNumberFormat="1" applyFont="1" applyBorder="1"/>
    <xf numFmtId="0" fontId="0" fillId="0" borderId="1" xfId="0" applyBorder="1" applyAlignment="1">
      <alignment wrapText="1"/>
    </xf>
    <xf numFmtId="9" fontId="2" fillId="0" borderId="1" xfId="2" applyFont="1" applyBorder="1"/>
    <xf numFmtId="41" fontId="0" fillId="2" borderId="1" xfId="1" applyFont="1" applyFill="1" applyBorder="1"/>
    <xf numFmtId="0" fontId="0" fillId="2" borderId="1" xfId="0" applyFill="1" applyBorder="1"/>
    <xf numFmtId="41" fontId="2" fillId="2" borderId="1" xfId="1" applyFont="1" applyFill="1" applyBorder="1"/>
    <xf numFmtId="41" fontId="2" fillId="2" borderId="1" xfId="0" applyNumberFormat="1" applyFont="1" applyFill="1" applyBorder="1"/>
    <xf numFmtId="41" fontId="0" fillId="2" borderId="1" xfId="0" applyNumberFormat="1" applyFill="1" applyBorder="1"/>
    <xf numFmtId="0" fontId="0" fillId="0" borderId="1" xfId="2" applyNumberFormat="1" applyFont="1" applyBorder="1"/>
    <xf numFmtId="0" fontId="2" fillId="3" borderId="1" xfId="0" applyFont="1" applyFill="1" applyBorder="1"/>
    <xf numFmtId="41" fontId="2" fillId="3" borderId="1" xfId="0" applyNumberFormat="1" applyFont="1" applyFill="1" applyBorder="1"/>
    <xf numFmtId="9" fontId="2" fillId="3" borderId="1" xfId="2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41" fontId="0" fillId="5" borderId="1" xfId="1" applyFont="1" applyFill="1" applyBorder="1"/>
    <xf numFmtId="41" fontId="2" fillId="5" borderId="1" xfId="1" applyFont="1" applyFill="1" applyBorder="1"/>
    <xf numFmtId="41" fontId="2" fillId="5" borderId="1" xfId="0" applyNumberFormat="1" applyFont="1" applyFill="1" applyBorder="1"/>
    <xf numFmtId="41" fontId="0" fillId="5" borderId="1" xfId="0" applyNumberFormat="1" applyFill="1" applyBorder="1"/>
    <xf numFmtId="0" fontId="0" fillId="5" borderId="1" xfId="0" applyFill="1" applyBorder="1"/>
    <xf numFmtId="3" fontId="2" fillId="5" borderId="1" xfId="0" applyNumberFormat="1" applyFont="1" applyFill="1" applyBorder="1"/>
    <xf numFmtId="3" fontId="0" fillId="5" borderId="1" xfId="0" applyNumberFormat="1" applyFill="1" applyBorder="1"/>
    <xf numFmtId="41" fontId="0" fillId="6" borderId="1" xfId="1" applyFont="1" applyFill="1" applyBorder="1"/>
    <xf numFmtId="41" fontId="2" fillId="6" borderId="1" xfId="1" applyFont="1" applyFill="1" applyBorder="1"/>
    <xf numFmtId="41" fontId="2" fillId="6" borderId="1" xfId="0" applyNumberFormat="1" applyFont="1" applyFill="1" applyBorder="1"/>
    <xf numFmtId="41" fontId="0" fillId="6" borderId="1" xfId="0" applyNumberFormat="1" applyFill="1" applyBorder="1"/>
    <xf numFmtId="0" fontId="0" fillId="6" borderId="1" xfId="0" applyFill="1" applyBorder="1"/>
    <xf numFmtId="3" fontId="2" fillId="6" borderId="1" xfId="0" applyNumberFormat="1" applyFont="1" applyFill="1" applyBorder="1"/>
    <xf numFmtId="3" fontId="0" fillId="6" borderId="1" xfId="0" applyNumberFormat="1" applyFill="1" applyBorder="1"/>
    <xf numFmtId="0" fontId="0" fillId="0" borderId="1" xfId="0" applyBorder="1" applyAlignment="1">
      <alignment horizontal="right"/>
    </xf>
    <xf numFmtId="3" fontId="2" fillId="2" borderId="1" xfId="0" applyNumberFormat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1E21-568B-45BE-AA83-388307615E5F}">
  <sheetPr codeName="Sheet1"/>
  <dimension ref="B2:Q94"/>
  <sheetViews>
    <sheetView tabSelected="1" topLeftCell="A79" workbookViewId="0">
      <selection activeCell="C11" sqref="C11"/>
    </sheetView>
  </sheetViews>
  <sheetFormatPr defaultRowHeight="15" x14ac:dyDescent="0.25"/>
  <cols>
    <col min="3" max="3" width="45.7109375" customWidth="1"/>
    <col min="4" max="4" width="12.85546875" customWidth="1"/>
    <col min="5" max="5" width="16.42578125" customWidth="1"/>
    <col min="6" max="6" width="14.7109375" customWidth="1"/>
    <col min="7" max="8" width="13.5703125" customWidth="1"/>
    <col min="9" max="9" width="12" customWidth="1"/>
    <col min="10" max="10" width="11.28515625" customWidth="1"/>
    <col min="11" max="11" width="27" bestFit="1" customWidth="1"/>
    <col min="15" max="15" width="10.5703125" bestFit="1" customWidth="1"/>
    <col min="17" max="17" width="13.42578125" style="1" customWidth="1"/>
  </cols>
  <sheetData>
    <row r="2" spans="2:11" x14ac:dyDescent="0.25">
      <c r="C2" t="s">
        <v>0</v>
      </c>
    </row>
    <row r="3" spans="2:11" x14ac:dyDescent="0.25">
      <c r="C3" t="s">
        <v>77</v>
      </c>
    </row>
    <row r="4" spans="2:11" x14ac:dyDescent="0.25">
      <c r="C4" t="s">
        <v>78</v>
      </c>
    </row>
    <row r="5" spans="2:11" x14ac:dyDescent="0.25">
      <c r="C5" t="s">
        <v>22</v>
      </c>
    </row>
    <row r="6" spans="2:11" ht="45" x14ac:dyDescent="0.25">
      <c r="B6" s="25" t="s">
        <v>15</v>
      </c>
      <c r="C6" s="25" t="s">
        <v>2</v>
      </c>
      <c r="D6" s="25" t="s">
        <v>3</v>
      </c>
      <c r="E6" s="26" t="s">
        <v>21</v>
      </c>
      <c r="F6" s="25" t="s">
        <v>4</v>
      </c>
      <c r="G6" s="25" t="s">
        <v>5</v>
      </c>
      <c r="H6" s="26" t="s">
        <v>20</v>
      </c>
      <c r="I6" s="26" t="s">
        <v>19</v>
      </c>
      <c r="J6" s="26" t="s">
        <v>18</v>
      </c>
      <c r="K6" s="25" t="s">
        <v>14</v>
      </c>
    </row>
    <row r="7" spans="2:11" x14ac:dyDescent="0.25">
      <c r="B7" s="7">
        <v>1.1000000000000001</v>
      </c>
      <c r="C7" s="5" t="s">
        <v>1</v>
      </c>
      <c r="D7" s="27"/>
      <c r="E7" s="34"/>
      <c r="F7" s="7"/>
      <c r="G7" s="7"/>
      <c r="H7" s="7"/>
      <c r="I7" s="7"/>
      <c r="J7" s="7"/>
      <c r="K7" s="7"/>
    </row>
    <row r="8" spans="2:11" x14ac:dyDescent="0.25">
      <c r="B8" s="41" t="s">
        <v>23</v>
      </c>
      <c r="C8" s="7"/>
      <c r="D8" s="27">
        <v>400000</v>
      </c>
      <c r="E8" s="34">
        <v>400000</v>
      </c>
      <c r="F8" s="6">
        <v>400000</v>
      </c>
      <c r="G8" s="19">
        <f>D8-F8</f>
        <v>0</v>
      </c>
      <c r="H8" s="8">
        <f>D8-E8</f>
        <v>0</v>
      </c>
      <c r="I8" s="9">
        <f>F8/E8*100%</f>
        <v>1</v>
      </c>
      <c r="J8" s="9">
        <f>F8/D8*100%</f>
        <v>1</v>
      </c>
      <c r="K8" s="7"/>
    </row>
    <row r="9" spans="2:11" x14ac:dyDescent="0.25">
      <c r="B9" s="41" t="s">
        <v>24</v>
      </c>
      <c r="C9" s="7"/>
      <c r="D9" s="27">
        <v>2650000</v>
      </c>
      <c r="E9" s="34">
        <v>2650000</v>
      </c>
      <c r="F9" s="15">
        <v>2099450</v>
      </c>
      <c r="G9" s="19">
        <f t="shared" ref="G9:G88" si="0">D9-F9</f>
        <v>550550</v>
      </c>
      <c r="H9" s="8">
        <f>D9-E9</f>
        <v>0</v>
      </c>
      <c r="I9" s="9">
        <f>F9/E9*100%</f>
        <v>0.79224528301886787</v>
      </c>
      <c r="J9" s="9">
        <f>F9/D9*100%</f>
        <v>0.79224528301886787</v>
      </c>
      <c r="K9" s="7"/>
    </row>
    <row r="10" spans="2:11" x14ac:dyDescent="0.25">
      <c r="B10" s="41" t="s">
        <v>25</v>
      </c>
      <c r="C10" s="7"/>
      <c r="D10" s="27">
        <v>100000</v>
      </c>
      <c r="E10" s="34">
        <v>100000</v>
      </c>
      <c r="F10" s="15">
        <v>100000</v>
      </c>
      <c r="G10" s="19">
        <f t="shared" si="0"/>
        <v>0</v>
      </c>
      <c r="H10" s="8">
        <f>D10-E10</f>
        <v>0</v>
      </c>
      <c r="I10" s="9">
        <f>F10/E10*100%</f>
        <v>1</v>
      </c>
      <c r="J10" s="9">
        <f>F10/D10*100%</f>
        <v>1</v>
      </c>
      <c r="K10" s="7"/>
    </row>
    <row r="11" spans="2:11" x14ac:dyDescent="0.25">
      <c r="B11" s="7"/>
      <c r="C11" s="4" t="s">
        <v>6</v>
      </c>
      <c r="D11" s="28">
        <f>SUM(D8:D10)</f>
        <v>3150000</v>
      </c>
      <c r="E11" s="35">
        <f>SUM(E8:E10)</f>
        <v>3150000</v>
      </c>
      <c r="F11" s="17">
        <f>SUM(F8:F10)</f>
        <v>2599450</v>
      </c>
      <c r="G11" s="17">
        <f>SUM(G8:G10)</f>
        <v>550550</v>
      </c>
      <c r="H11" s="10">
        <f t="shared" ref="H11" si="1">SUM(H8:H10)</f>
        <v>0</v>
      </c>
      <c r="I11" s="14">
        <f>F11/E11*100%</f>
        <v>0.82522222222222219</v>
      </c>
      <c r="J11" s="14">
        <f>F11/D11*100%</f>
        <v>0.82522222222222219</v>
      </c>
      <c r="K11" s="7"/>
    </row>
    <row r="12" spans="2:11" x14ac:dyDescent="0.25">
      <c r="B12" s="7">
        <v>2.1</v>
      </c>
      <c r="C12" s="4" t="s">
        <v>30</v>
      </c>
      <c r="D12" s="27"/>
      <c r="E12" s="34"/>
      <c r="F12" s="16"/>
      <c r="G12" s="19">
        <f t="shared" si="0"/>
        <v>0</v>
      </c>
      <c r="H12" s="8"/>
      <c r="I12" s="9"/>
      <c r="J12" s="9"/>
      <c r="K12" s="7"/>
    </row>
    <row r="13" spans="2:11" x14ac:dyDescent="0.25">
      <c r="B13" s="41" t="s">
        <v>26</v>
      </c>
      <c r="C13" s="7" t="s">
        <v>7</v>
      </c>
      <c r="D13" s="27">
        <v>350000</v>
      </c>
      <c r="E13" s="34">
        <v>350000</v>
      </c>
      <c r="F13" s="15">
        <v>300000</v>
      </c>
      <c r="G13" s="19">
        <f>D13-F13</f>
        <v>50000</v>
      </c>
      <c r="H13" s="8">
        <f>D13-E13</f>
        <v>0</v>
      </c>
      <c r="I13" s="9">
        <f>F13/E13*100%</f>
        <v>0.8571428571428571</v>
      </c>
      <c r="J13" s="9">
        <f>F13/D13*100%</f>
        <v>0.8571428571428571</v>
      </c>
      <c r="K13" s="7"/>
    </row>
    <row r="14" spans="2:11" x14ac:dyDescent="0.25">
      <c r="B14" s="41" t="s">
        <v>27</v>
      </c>
      <c r="C14" s="7" t="s">
        <v>8</v>
      </c>
      <c r="D14" s="27">
        <v>13250000</v>
      </c>
      <c r="E14" s="34">
        <v>13250000</v>
      </c>
      <c r="F14" s="15">
        <v>13000000</v>
      </c>
      <c r="G14" s="19">
        <f t="shared" ref="G14:G16" si="2">D14-F14</f>
        <v>250000</v>
      </c>
      <c r="H14" s="8">
        <f>D14-E14</f>
        <v>0</v>
      </c>
      <c r="I14" s="9">
        <f>F14/E14*100%</f>
        <v>0.98113207547169812</v>
      </c>
      <c r="J14" s="9">
        <f>F14/D14*100%</f>
        <v>0.98113207547169812</v>
      </c>
      <c r="K14" s="7"/>
    </row>
    <row r="15" spans="2:11" x14ac:dyDescent="0.25">
      <c r="B15" s="41" t="s">
        <v>28</v>
      </c>
      <c r="C15" s="7" t="s">
        <v>9</v>
      </c>
      <c r="D15" s="27">
        <v>400000</v>
      </c>
      <c r="E15" s="34">
        <v>400000</v>
      </c>
      <c r="F15" s="15">
        <v>672000</v>
      </c>
      <c r="G15" s="19">
        <f t="shared" si="2"/>
        <v>-272000</v>
      </c>
      <c r="H15" s="8">
        <f>D15-E15</f>
        <v>0</v>
      </c>
      <c r="I15" s="9">
        <f>F15/E15*100%</f>
        <v>1.68</v>
      </c>
      <c r="J15" s="9">
        <f>F15/D15*100%</f>
        <v>1.68</v>
      </c>
      <c r="K15" s="7"/>
    </row>
    <row r="16" spans="2:11" x14ac:dyDescent="0.25">
      <c r="B16" s="41" t="s">
        <v>29</v>
      </c>
      <c r="C16" s="7" t="s">
        <v>10</v>
      </c>
      <c r="D16" s="27">
        <v>4940000</v>
      </c>
      <c r="E16" s="34">
        <v>4940000</v>
      </c>
      <c r="F16" s="15">
        <v>4674550</v>
      </c>
      <c r="G16" s="19">
        <f t="shared" si="2"/>
        <v>265450</v>
      </c>
      <c r="H16" s="8">
        <f>D16-E16</f>
        <v>0</v>
      </c>
      <c r="I16" s="9">
        <f>F16/E16*100%</f>
        <v>0.94626518218623479</v>
      </c>
      <c r="J16" s="9">
        <f>F16/D16*100%</f>
        <v>0.94626518218623479</v>
      </c>
      <c r="K16" s="7"/>
    </row>
    <row r="17" spans="2:11" x14ac:dyDescent="0.25">
      <c r="B17" s="7"/>
      <c r="C17" s="4" t="s">
        <v>6</v>
      </c>
      <c r="D17" s="28">
        <f>SUM(D13:D16)</f>
        <v>18940000</v>
      </c>
      <c r="E17" s="35">
        <f t="shared" ref="E17:F17" si="3">SUM(E13:E16)</f>
        <v>18940000</v>
      </c>
      <c r="F17" s="10">
        <f t="shared" si="3"/>
        <v>18646550</v>
      </c>
      <c r="G17" s="17">
        <f>SUM(G13:G16)</f>
        <v>293450</v>
      </c>
      <c r="H17" s="10">
        <f>SUM(H13:H16)</f>
        <v>0</v>
      </c>
      <c r="I17" s="14">
        <f>F17/E17*100%</f>
        <v>0.98450633579725444</v>
      </c>
      <c r="J17" s="14">
        <f>F17/D17*100%</f>
        <v>0.98450633579725444</v>
      </c>
      <c r="K17" s="7"/>
    </row>
    <row r="18" spans="2:11" x14ac:dyDescent="0.25">
      <c r="B18" s="7">
        <v>3.1</v>
      </c>
      <c r="C18" s="4" t="s">
        <v>36</v>
      </c>
      <c r="D18" s="27"/>
      <c r="E18" s="34"/>
      <c r="F18" s="15"/>
      <c r="G18" s="19">
        <f t="shared" si="0"/>
        <v>0</v>
      </c>
      <c r="H18" s="8"/>
      <c r="I18" s="9"/>
      <c r="J18" s="9"/>
      <c r="K18" s="7"/>
    </row>
    <row r="19" spans="2:11" x14ac:dyDescent="0.25">
      <c r="B19" s="41" t="s">
        <v>31</v>
      </c>
      <c r="C19" s="7"/>
      <c r="D19" s="27">
        <v>3750000</v>
      </c>
      <c r="E19" s="34">
        <v>3750000</v>
      </c>
      <c r="F19" s="15">
        <v>1877165</v>
      </c>
      <c r="G19" s="19">
        <f>D19-F19</f>
        <v>1872835</v>
      </c>
      <c r="H19" s="8">
        <f>D19-E19</f>
        <v>0</v>
      </c>
      <c r="I19" s="9">
        <f>F19/E19*100%</f>
        <v>0.50057733333333332</v>
      </c>
      <c r="J19" s="9">
        <f>F19/D19*100%</f>
        <v>0.50057733333333332</v>
      </c>
      <c r="K19" s="7"/>
    </row>
    <row r="20" spans="2:11" x14ac:dyDescent="0.25">
      <c r="B20" s="41" t="s">
        <v>33</v>
      </c>
      <c r="C20" s="7"/>
      <c r="D20" s="27">
        <v>2800000</v>
      </c>
      <c r="E20" s="34">
        <v>2800000</v>
      </c>
      <c r="F20" s="15">
        <v>1000000</v>
      </c>
      <c r="G20" s="19">
        <f t="shared" si="0"/>
        <v>1800000</v>
      </c>
      <c r="H20" s="8">
        <f>D20-E20</f>
        <v>0</v>
      </c>
      <c r="I20" s="9">
        <f>F20/E20*100%</f>
        <v>0.35714285714285715</v>
      </c>
      <c r="J20" s="9">
        <f>F20/D20*100%</f>
        <v>0.35714285714285715</v>
      </c>
      <c r="K20" s="7"/>
    </row>
    <row r="21" spans="2:11" x14ac:dyDescent="0.25">
      <c r="B21" s="7"/>
      <c r="C21" s="4" t="s">
        <v>6</v>
      </c>
      <c r="D21" s="28">
        <f>SUM(D19:D20)</f>
        <v>6550000</v>
      </c>
      <c r="E21" s="35">
        <f>SUM(E19:E20)</f>
        <v>6550000</v>
      </c>
      <c r="F21" s="10">
        <f t="shared" ref="F21:G21" si="4">SUM(F19:F20)</f>
        <v>2877165</v>
      </c>
      <c r="G21" s="17">
        <f t="shared" si="4"/>
        <v>3672835</v>
      </c>
      <c r="H21" s="10">
        <f>SUM(H19:H20)</f>
        <v>0</v>
      </c>
      <c r="I21" s="14">
        <f>F21/E21*100%</f>
        <v>0.43926183206106872</v>
      </c>
      <c r="J21" s="14">
        <f>F21/D21*100%</f>
        <v>0.43926183206106872</v>
      </c>
      <c r="K21" s="7"/>
    </row>
    <row r="22" spans="2:11" x14ac:dyDescent="0.25">
      <c r="B22" s="7">
        <v>4.0999999999999996</v>
      </c>
      <c r="C22" s="4"/>
      <c r="D22" s="27"/>
      <c r="E22" s="34"/>
      <c r="F22" s="15"/>
      <c r="G22" s="19">
        <f t="shared" si="0"/>
        <v>0</v>
      </c>
      <c r="H22" s="8"/>
      <c r="I22" s="9"/>
      <c r="J22" s="9"/>
      <c r="K22" s="7"/>
    </row>
    <row r="23" spans="2:11" x14ac:dyDescent="0.25">
      <c r="B23" s="41" t="s">
        <v>34</v>
      </c>
      <c r="C23" s="7"/>
      <c r="D23" s="27">
        <v>1250000</v>
      </c>
      <c r="E23" s="34">
        <v>1250000</v>
      </c>
      <c r="F23" s="15">
        <v>800000</v>
      </c>
      <c r="G23" s="19">
        <f t="shared" si="0"/>
        <v>450000</v>
      </c>
      <c r="H23" s="8">
        <f>D23-E23</f>
        <v>0</v>
      </c>
      <c r="I23" s="9">
        <f>F23/E23*100%</f>
        <v>0.64</v>
      </c>
      <c r="J23" s="9">
        <f>F23/D23*100%</f>
        <v>0.64</v>
      </c>
      <c r="K23" s="7"/>
    </row>
    <row r="24" spans="2:11" x14ac:dyDescent="0.25">
      <c r="B24" s="41" t="s">
        <v>35</v>
      </c>
      <c r="C24" s="7"/>
      <c r="D24" s="27">
        <v>700000</v>
      </c>
      <c r="E24" s="34">
        <v>700000</v>
      </c>
      <c r="F24" s="15">
        <v>400000</v>
      </c>
      <c r="G24" s="19">
        <f t="shared" si="0"/>
        <v>300000</v>
      </c>
      <c r="H24" s="8">
        <f>D24-E24</f>
        <v>0</v>
      </c>
      <c r="I24" s="9">
        <f>F24/E24*100%</f>
        <v>0.5714285714285714</v>
      </c>
      <c r="J24" s="9">
        <f>F24/D24*100%</f>
        <v>0.5714285714285714</v>
      </c>
      <c r="K24" s="7"/>
    </row>
    <row r="25" spans="2:11" x14ac:dyDescent="0.25">
      <c r="B25" s="7"/>
      <c r="C25" s="4" t="s">
        <v>6</v>
      </c>
      <c r="D25" s="29">
        <f>SUM(D23:D24)</f>
        <v>1950000</v>
      </c>
      <c r="E25" s="36">
        <f t="shared" ref="E25:G25" si="5">SUM(E23:E24)</f>
        <v>1950000</v>
      </c>
      <c r="F25" s="11">
        <f t="shared" si="5"/>
        <v>1200000</v>
      </c>
      <c r="G25" s="18">
        <f t="shared" si="5"/>
        <v>750000</v>
      </c>
      <c r="H25" s="11">
        <f>SUM(H23:H24)</f>
        <v>0</v>
      </c>
      <c r="I25" s="14">
        <f>F25/E25*100%</f>
        <v>0.61538461538461542</v>
      </c>
      <c r="J25" s="14">
        <f>F25/D25*100%</f>
        <v>0.61538461538461542</v>
      </c>
      <c r="K25" s="7"/>
    </row>
    <row r="26" spans="2:11" x14ac:dyDescent="0.25">
      <c r="B26" s="7">
        <v>5.0999999999999996</v>
      </c>
      <c r="C26" s="4"/>
      <c r="D26" s="29"/>
      <c r="E26" s="36"/>
      <c r="F26" s="18"/>
      <c r="G26" s="18"/>
      <c r="H26" s="11"/>
      <c r="I26" s="9"/>
      <c r="J26" s="9"/>
      <c r="K26" s="7"/>
    </row>
    <row r="27" spans="2:11" x14ac:dyDescent="0.25">
      <c r="B27" s="41" t="s">
        <v>37</v>
      </c>
      <c r="C27" s="7"/>
      <c r="D27" s="30">
        <v>350000</v>
      </c>
      <c r="E27" s="37">
        <v>350000</v>
      </c>
      <c r="F27" s="19">
        <v>350000</v>
      </c>
      <c r="G27" s="19">
        <f t="shared" si="0"/>
        <v>0</v>
      </c>
      <c r="H27" s="8">
        <f>D27-E27</f>
        <v>0</v>
      </c>
      <c r="I27" s="9">
        <f>F27/E27*100%</f>
        <v>1</v>
      </c>
      <c r="J27" s="9">
        <f>F27/D27*100%</f>
        <v>1</v>
      </c>
      <c r="K27" s="7"/>
    </row>
    <row r="28" spans="2:11" x14ac:dyDescent="0.25">
      <c r="B28" s="41" t="s">
        <v>38</v>
      </c>
      <c r="C28" s="7"/>
      <c r="D28" s="30">
        <v>5300000</v>
      </c>
      <c r="E28" s="37">
        <v>5300000</v>
      </c>
      <c r="F28" s="19">
        <v>5240000</v>
      </c>
      <c r="G28" s="19">
        <f t="shared" si="0"/>
        <v>60000</v>
      </c>
      <c r="H28" s="8">
        <f>D28-E28</f>
        <v>0</v>
      </c>
      <c r="I28" s="9">
        <f>F28/E28*100%</f>
        <v>0.98867924528301887</v>
      </c>
      <c r="J28" s="9">
        <f>F28/D28*100%</f>
        <v>0.98867924528301887</v>
      </c>
      <c r="K28" s="7"/>
    </row>
    <row r="29" spans="2:11" x14ac:dyDescent="0.25">
      <c r="B29" s="41" t="s">
        <v>39</v>
      </c>
      <c r="C29" s="7"/>
      <c r="D29" s="30">
        <v>750000</v>
      </c>
      <c r="E29" s="37">
        <v>750000</v>
      </c>
      <c r="F29" s="19">
        <v>810000</v>
      </c>
      <c r="G29" s="19">
        <f t="shared" si="0"/>
        <v>-60000</v>
      </c>
      <c r="H29" s="8">
        <f>D29-E29</f>
        <v>0</v>
      </c>
      <c r="I29" s="9">
        <f>F29/E29*100%</f>
        <v>1.08</v>
      </c>
      <c r="J29" s="9">
        <f>F29/D29*100%</f>
        <v>1.08</v>
      </c>
      <c r="K29" s="7"/>
    </row>
    <row r="30" spans="2:11" x14ac:dyDescent="0.25">
      <c r="B30" s="41" t="s">
        <v>40</v>
      </c>
      <c r="C30" s="7"/>
      <c r="D30" s="30">
        <v>1400000</v>
      </c>
      <c r="E30" s="37">
        <v>1400000</v>
      </c>
      <c r="F30" s="19">
        <v>1400000</v>
      </c>
      <c r="G30" s="19">
        <f t="shared" si="0"/>
        <v>0</v>
      </c>
      <c r="H30" s="8">
        <f>D30-E30</f>
        <v>0</v>
      </c>
      <c r="I30" s="9">
        <f>F30/E30*100%</f>
        <v>1</v>
      </c>
      <c r="J30" s="9">
        <f>F30/D30*100%</f>
        <v>1</v>
      </c>
      <c r="K30" s="7"/>
    </row>
    <row r="31" spans="2:11" x14ac:dyDescent="0.25">
      <c r="B31" s="7"/>
      <c r="C31" s="4" t="s">
        <v>6</v>
      </c>
      <c r="D31" s="29">
        <f>SUM(D27:D30)</f>
        <v>7800000</v>
      </c>
      <c r="E31" s="36">
        <f t="shared" ref="E31" si="6">SUM(E27:E30)</f>
        <v>7800000</v>
      </c>
      <c r="F31" s="11">
        <f>SUM(F27:F30)</f>
        <v>7800000</v>
      </c>
      <c r="G31" s="18">
        <f>SUM(G27:G30)</f>
        <v>0</v>
      </c>
      <c r="H31" s="11">
        <f>SUM(H27:H30)</f>
        <v>0</v>
      </c>
      <c r="I31" s="14">
        <f>F31/E31*100%</f>
        <v>1</v>
      </c>
      <c r="J31" s="14">
        <f>F31/D31*100%</f>
        <v>1</v>
      </c>
      <c r="K31" s="7"/>
    </row>
    <row r="32" spans="2:11" x14ac:dyDescent="0.25">
      <c r="B32" s="7">
        <v>6.1</v>
      </c>
      <c r="C32" s="4"/>
      <c r="D32" s="29"/>
      <c r="E32" s="36"/>
      <c r="F32" s="18"/>
      <c r="G32" s="18"/>
      <c r="H32" s="11"/>
      <c r="I32" s="9"/>
      <c r="J32" s="9"/>
      <c r="K32" s="7"/>
    </row>
    <row r="33" spans="2:11" x14ac:dyDescent="0.25">
      <c r="B33" s="41" t="s">
        <v>32</v>
      </c>
      <c r="C33" s="7"/>
      <c r="D33" s="27">
        <v>800000</v>
      </c>
      <c r="E33" s="34">
        <v>800000</v>
      </c>
      <c r="F33" s="15">
        <v>800000</v>
      </c>
      <c r="G33" s="19">
        <f t="shared" si="0"/>
        <v>0</v>
      </c>
      <c r="H33" s="8">
        <f>D33-E33</f>
        <v>0</v>
      </c>
      <c r="I33" s="9">
        <f>F33/D33*100%</f>
        <v>1</v>
      </c>
      <c r="J33" s="9">
        <f t="shared" ref="J33:J36" si="7">F33/D33*100%</f>
        <v>1</v>
      </c>
      <c r="K33" s="7"/>
    </row>
    <row r="34" spans="2:11" x14ac:dyDescent="0.25">
      <c r="B34" s="41" t="s">
        <v>41</v>
      </c>
      <c r="C34" s="7"/>
      <c r="D34" s="27">
        <v>600000</v>
      </c>
      <c r="E34" s="34">
        <v>300000</v>
      </c>
      <c r="F34" s="15">
        <v>300000</v>
      </c>
      <c r="G34" s="19">
        <f t="shared" si="0"/>
        <v>300000</v>
      </c>
      <c r="H34" s="8">
        <f t="shared" ref="H34:H35" si="8">D34-E34</f>
        <v>300000</v>
      </c>
      <c r="I34" s="9">
        <f t="shared" ref="I34:I35" si="9">F34/D34*100%</f>
        <v>0.5</v>
      </c>
      <c r="J34" s="9">
        <f t="shared" si="7"/>
        <v>0.5</v>
      </c>
      <c r="K34" s="7"/>
    </row>
    <row r="35" spans="2:11" x14ac:dyDescent="0.25">
      <c r="B35" s="41" t="s">
        <v>42</v>
      </c>
      <c r="C35" s="7"/>
      <c r="D35" s="27">
        <v>200000</v>
      </c>
      <c r="E35" s="34">
        <v>200000</v>
      </c>
      <c r="F35" s="15">
        <v>100000</v>
      </c>
      <c r="G35" s="19">
        <f t="shared" si="0"/>
        <v>100000</v>
      </c>
      <c r="H35" s="8">
        <f t="shared" si="8"/>
        <v>0</v>
      </c>
      <c r="I35" s="9">
        <f t="shared" si="9"/>
        <v>0.5</v>
      </c>
      <c r="J35" s="9">
        <f t="shared" si="7"/>
        <v>0.5</v>
      </c>
      <c r="K35" s="7"/>
    </row>
    <row r="36" spans="2:11" x14ac:dyDescent="0.25">
      <c r="B36" s="7"/>
      <c r="C36" s="4" t="s">
        <v>6</v>
      </c>
      <c r="D36" s="28">
        <f>SUM(D33:D35)</f>
        <v>1600000</v>
      </c>
      <c r="E36" s="35">
        <f>SUM(E33:E35)</f>
        <v>1300000</v>
      </c>
      <c r="F36" s="10">
        <f>SUM(F33:F35)</f>
        <v>1200000</v>
      </c>
      <c r="G36" s="10">
        <f t="shared" ref="G36:H36" si="10">SUM(G33:G35)</f>
        <v>400000</v>
      </c>
      <c r="H36" s="10">
        <f>SUM(H33:H35)</f>
        <v>300000</v>
      </c>
      <c r="I36" s="14">
        <f>F36/D36*100%</f>
        <v>0.75</v>
      </c>
      <c r="J36" s="9">
        <f>F36/D36*100%</f>
        <v>0.75</v>
      </c>
      <c r="K36" s="7"/>
    </row>
    <row r="37" spans="2:11" x14ac:dyDescent="0.25">
      <c r="B37" s="7"/>
      <c r="C37" s="7"/>
      <c r="D37" s="31"/>
      <c r="E37" s="38"/>
      <c r="F37" s="15"/>
      <c r="G37" s="19">
        <f t="shared" si="0"/>
        <v>0</v>
      </c>
      <c r="H37" s="8"/>
      <c r="I37" s="9"/>
      <c r="J37" s="9"/>
      <c r="K37" s="7"/>
    </row>
    <row r="38" spans="2:11" x14ac:dyDescent="0.25">
      <c r="B38" s="7">
        <v>7.1</v>
      </c>
      <c r="C38" s="4"/>
      <c r="D38" s="32"/>
      <c r="E38" s="39"/>
      <c r="F38" s="15"/>
      <c r="G38" s="19">
        <f t="shared" si="0"/>
        <v>0</v>
      </c>
      <c r="H38" s="8"/>
      <c r="I38" s="9"/>
      <c r="J38" s="9"/>
      <c r="K38" s="7"/>
    </row>
    <row r="39" spans="2:11" x14ac:dyDescent="0.25">
      <c r="B39" s="41" t="s">
        <v>43</v>
      </c>
      <c r="C39" s="7"/>
      <c r="D39" s="27">
        <v>510000</v>
      </c>
      <c r="E39" s="34">
        <v>510000</v>
      </c>
      <c r="F39" s="15">
        <v>612000</v>
      </c>
      <c r="G39" s="19">
        <f>D39-F39</f>
        <v>-102000</v>
      </c>
      <c r="H39" s="8">
        <f t="shared" ref="H39:H44" si="11">D39-E39</f>
        <v>0</v>
      </c>
      <c r="I39" s="9">
        <f t="shared" ref="I39:I45" si="12">F39/E39*100%</f>
        <v>1.2</v>
      </c>
      <c r="J39" s="9">
        <f t="shared" ref="J39:J45" si="13">F39/D39*100%</f>
        <v>1.2</v>
      </c>
      <c r="K39" s="7"/>
    </row>
    <row r="40" spans="2:11" x14ac:dyDescent="0.25">
      <c r="B40" s="41" t="s">
        <v>44</v>
      </c>
      <c r="C40" s="7"/>
      <c r="D40" s="27">
        <v>750000</v>
      </c>
      <c r="E40" s="34">
        <v>750000</v>
      </c>
      <c r="F40" s="15">
        <v>300000</v>
      </c>
      <c r="G40" s="19">
        <f t="shared" si="0"/>
        <v>450000</v>
      </c>
      <c r="H40" s="8">
        <f t="shared" si="11"/>
        <v>0</v>
      </c>
      <c r="I40" s="9">
        <f t="shared" si="12"/>
        <v>0.4</v>
      </c>
      <c r="J40" s="9">
        <f t="shared" si="13"/>
        <v>0.4</v>
      </c>
      <c r="K40" s="7"/>
    </row>
    <row r="41" spans="2:11" x14ac:dyDescent="0.25">
      <c r="B41" s="41" t="s">
        <v>45</v>
      </c>
      <c r="C41" s="7"/>
      <c r="D41" s="27">
        <v>255000</v>
      </c>
      <c r="E41" s="34">
        <v>255000</v>
      </c>
      <c r="F41" s="15">
        <v>0</v>
      </c>
      <c r="G41" s="19">
        <f t="shared" si="0"/>
        <v>255000</v>
      </c>
      <c r="H41" s="8">
        <f t="shared" si="11"/>
        <v>0</v>
      </c>
      <c r="I41" s="9">
        <f t="shared" si="12"/>
        <v>0</v>
      </c>
      <c r="J41" s="9">
        <f t="shared" si="13"/>
        <v>0</v>
      </c>
      <c r="K41" s="7"/>
    </row>
    <row r="42" spans="2:11" x14ac:dyDescent="0.25">
      <c r="B42" s="41" t="s">
        <v>46</v>
      </c>
      <c r="C42" s="7"/>
      <c r="D42" s="27">
        <v>45000</v>
      </c>
      <c r="E42" s="34">
        <v>45000</v>
      </c>
      <c r="F42" s="15"/>
      <c r="G42" s="19">
        <f t="shared" si="0"/>
        <v>45000</v>
      </c>
      <c r="H42" s="8">
        <f t="shared" si="11"/>
        <v>0</v>
      </c>
      <c r="I42" s="9">
        <f t="shared" si="12"/>
        <v>0</v>
      </c>
      <c r="J42" s="9">
        <f t="shared" si="13"/>
        <v>0</v>
      </c>
      <c r="K42" s="7"/>
    </row>
    <row r="43" spans="2:11" x14ac:dyDescent="0.25">
      <c r="B43" s="41" t="s">
        <v>47</v>
      </c>
      <c r="C43" s="7"/>
      <c r="D43" s="27">
        <v>150000</v>
      </c>
      <c r="E43" s="34">
        <v>150000</v>
      </c>
      <c r="F43" s="15">
        <f>30400+22500+51000</f>
        <v>103900</v>
      </c>
      <c r="G43" s="19">
        <f t="shared" si="0"/>
        <v>46100</v>
      </c>
      <c r="H43" s="8">
        <f t="shared" si="11"/>
        <v>0</v>
      </c>
      <c r="I43" s="9">
        <f t="shared" si="12"/>
        <v>0.69266666666666665</v>
      </c>
      <c r="J43" s="9">
        <f t="shared" si="13"/>
        <v>0.69266666666666665</v>
      </c>
      <c r="K43" s="7"/>
    </row>
    <row r="44" spans="2:11" x14ac:dyDescent="0.25">
      <c r="B44" s="41" t="s">
        <v>48</v>
      </c>
      <c r="C44" s="13"/>
      <c r="D44" s="27">
        <v>1530000</v>
      </c>
      <c r="E44" s="34">
        <v>1530000</v>
      </c>
      <c r="F44" s="15">
        <v>1500000</v>
      </c>
      <c r="G44" s="19">
        <f t="shared" si="0"/>
        <v>30000</v>
      </c>
      <c r="H44" s="8">
        <f t="shared" si="11"/>
        <v>0</v>
      </c>
      <c r="I44" s="9">
        <f t="shared" si="12"/>
        <v>0.98039215686274506</v>
      </c>
      <c r="J44" s="9">
        <f t="shared" si="13"/>
        <v>0.98039215686274506</v>
      </c>
      <c r="K44" s="7"/>
    </row>
    <row r="45" spans="2:11" x14ac:dyDescent="0.25">
      <c r="B45" s="7"/>
      <c r="C45" s="4" t="s">
        <v>6</v>
      </c>
      <c r="D45" s="29">
        <f>SUM(D39:D44)</f>
        <v>3240000</v>
      </c>
      <c r="E45" s="36">
        <f t="shared" ref="E45:G45" si="14">SUM(E39:E44)</f>
        <v>3240000</v>
      </c>
      <c r="F45" s="11">
        <f t="shared" si="14"/>
        <v>2515900</v>
      </c>
      <c r="G45" s="18">
        <f t="shared" si="14"/>
        <v>724100</v>
      </c>
      <c r="H45" s="11">
        <f>SUM(H39:H44)</f>
        <v>0</v>
      </c>
      <c r="I45" s="14">
        <f t="shared" si="12"/>
        <v>0.77651234567901239</v>
      </c>
      <c r="J45" s="14">
        <f t="shared" si="13"/>
        <v>0.77651234567901239</v>
      </c>
      <c r="K45" s="7"/>
    </row>
    <row r="46" spans="2:11" x14ac:dyDescent="0.25">
      <c r="B46" s="7">
        <v>8.1</v>
      </c>
      <c r="C46" s="4"/>
      <c r="D46" s="31"/>
      <c r="E46" s="38"/>
      <c r="F46" s="16"/>
      <c r="G46" s="19">
        <f t="shared" si="0"/>
        <v>0</v>
      </c>
      <c r="H46" s="8"/>
      <c r="I46" s="9"/>
      <c r="J46" s="9"/>
      <c r="K46" s="7"/>
    </row>
    <row r="47" spans="2:11" x14ac:dyDescent="0.25">
      <c r="B47" s="41" t="s">
        <v>49</v>
      </c>
      <c r="C47" s="7"/>
      <c r="D47" s="27">
        <v>100000</v>
      </c>
      <c r="E47" s="34">
        <v>100000</v>
      </c>
      <c r="F47" s="15">
        <v>100000</v>
      </c>
      <c r="G47" s="19">
        <f t="shared" si="0"/>
        <v>0</v>
      </c>
      <c r="H47" s="8">
        <f>D47-E47</f>
        <v>0</v>
      </c>
      <c r="I47" s="9">
        <f>F47/E47*100%</f>
        <v>1</v>
      </c>
      <c r="J47" s="9">
        <f>F47/D47*100%</f>
        <v>1</v>
      </c>
      <c r="K47" s="7"/>
    </row>
    <row r="48" spans="2:11" x14ac:dyDescent="0.25">
      <c r="B48" s="41" t="s">
        <v>50</v>
      </c>
      <c r="C48" s="7"/>
      <c r="D48" s="27">
        <v>375000</v>
      </c>
      <c r="E48" s="34">
        <v>375000</v>
      </c>
      <c r="F48" s="15">
        <v>375000</v>
      </c>
      <c r="G48" s="19">
        <f t="shared" si="0"/>
        <v>0</v>
      </c>
      <c r="H48" s="8">
        <f>D48-E48</f>
        <v>0</v>
      </c>
      <c r="I48" s="9">
        <f>F48/E48*100%</f>
        <v>1</v>
      </c>
      <c r="J48" s="9">
        <f>F48/D48*100%</f>
        <v>1</v>
      </c>
      <c r="K48" s="7"/>
    </row>
    <row r="49" spans="2:11" x14ac:dyDescent="0.25">
      <c r="B49" s="41" t="s">
        <v>51</v>
      </c>
      <c r="C49" s="7"/>
      <c r="D49" s="27">
        <v>600000</v>
      </c>
      <c r="E49" s="34">
        <v>600000</v>
      </c>
      <c r="F49" s="15">
        <v>612500</v>
      </c>
      <c r="G49" s="19">
        <f t="shared" si="0"/>
        <v>-12500</v>
      </c>
      <c r="H49" s="8">
        <f>D49-E49</f>
        <v>0</v>
      </c>
      <c r="I49" s="9">
        <f>F49/E49*100%</f>
        <v>1.0208333333333333</v>
      </c>
      <c r="J49" s="9">
        <f>F49/D49*100%</f>
        <v>1.0208333333333333</v>
      </c>
      <c r="K49" s="8"/>
    </row>
    <row r="50" spans="2:11" x14ac:dyDescent="0.25">
      <c r="B50" s="41" t="s">
        <v>52</v>
      </c>
      <c r="C50" s="7"/>
      <c r="D50" s="27">
        <v>250000</v>
      </c>
      <c r="E50" s="34">
        <v>250000</v>
      </c>
      <c r="F50" s="15">
        <v>200000</v>
      </c>
      <c r="G50" s="19">
        <f t="shared" si="0"/>
        <v>50000</v>
      </c>
      <c r="H50" s="8">
        <f>D50-E50</f>
        <v>0</v>
      </c>
      <c r="I50" s="9">
        <f>F50/E50*100%</f>
        <v>0.8</v>
      </c>
      <c r="J50" s="9">
        <f>F50/D50*100%</f>
        <v>0.8</v>
      </c>
      <c r="K50" s="7"/>
    </row>
    <row r="51" spans="2:11" x14ac:dyDescent="0.25">
      <c r="B51" s="7"/>
      <c r="C51" s="4" t="s">
        <v>6</v>
      </c>
      <c r="D51" s="28">
        <f>SUM(D47:D50)</f>
        <v>1325000</v>
      </c>
      <c r="E51" s="35">
        <f t="shared" ref="E51:G51" si="15">SUM(E47:E50)</f>
        <v>1325000</v>
      </c>
      <c r="F51" s="10">
        <f t="shared" si="15"/>
        <v>1287500</v>
      </c>
      <c r="G51" s="17">
        <f t="shared" si="15"/>
        <v>37500</v>
      </c>
      <c r="H51" s="10">
        <f>SUM(H47:H50)</f>
        <v>0</v>
      </c>
      <c r="I51" s="14">
        <f>F51/E51*100%</f>
        <v>0.97169811320754718</v>
      </c>
      <c r="J51" s="14">
        <f>F51/D51*100%</f>
        <v>0.97169811320754718</v>
      </c>
      <c r="K51" s="7"/>
    </row>
    <row r="52" spans="2:11" x14ac:dyDescent="0.25">
      <c r="B52" s="4">
        <v>9.1</v>
      </c>
      <c r="C52" s="4"/>
      <c r="D52" s="27"/>
      <c r="E52" s="34"/>
      <c r="F52" s="16"/>
      <c r="G52" s="19"/>
      <c r="H52" s="8"/>
      <c r="I52" s="9"/>
      <c r="J52" s="9"/>
      <c r="K52" s="13"/>
    </row>
    <row r="53" spans="2:11" x14ac:dyDescent="0.25">
      <c r="B53" s="41" t="s">
        <v>53</v>
      </c>
      <c r="C53" s="7"/>
      <c r="D53" s="27">
        <v>170000</v>
      </c>
      <c r="E53" s="34"/>
      <c r="F53" s="16"/>
      <c r="G53" s="19">
        <f t="shared" si="0"/>
        <v>170000</v>
      </c>
      <c r="H53" s="8">
        <f t="shared" ref="H53:H58" si="16">D53-E53</f>
        <v>170000</v>
      </c>
      <c r="I53" s="9"/>
      <c r="J53" s="9">
        <f t="shared" ref="J53:J59" si="17">F53/D53*100%</f>
        <v>0</v>
      </c>
      <c r="K53" s="7"/>
    </row>
    <row r="54" spans="2:11" x14ac:dyDescent="0.25">
      <c r="B54" s="41" t="s">
        <v>55</v>
      </c>
      <c r="C54" s="7"/>
      <c r="D54" s="27">
        <v>100000</v>
      </c>
      <c r="E54" s="34"/>
      <c r="F54" s="16"/>
      <c r="G54" s="19">
        <f t="shared" si="0"/>
        <v>100000</v>
      </c>
      <c r="H54" s="8">
        <f t="shared" si="16"/>
        <v>100000</v>
      </c>
      <c r="I54" s="9"/>
      <c r="J54" s="9">
        <f t="shared" si="17"/>
        <v>0</v>
      </c>
      <c r="K54" s="7"/>
    </row>
    <row r="55" spans="2:11" x14ac:dyDescent="0.25">
      <c r="B55" s="41" t="s">
        <v>56</v>
      </c>
      <c r="C55" s="7"/>
      <c r="D55" s="27">
        <v>75000</v>
      </c>
      <c r="E55" s="34"/>
      <c r="F55" s="16"/>
      <c r="G55" s="19">
        <f t="shared" si="0"/>
        <v>75000</v>
      </c>
      <c r="H55" s="8">
        <f t="shared" si="16"/>
        <v>75000</v>
      </c>
      <c r="I55" s="9"/>
      <c r="J55" s="9">
        <f t="shared" si="17"/>
        <v>0</v>
      </c>
      <c r="K55" s="7"/>
    </row>
    <row r="56" spans="2:11" x14ac:dyDescent="0.25">
      <c r="B56" s="41" t="s">
        <v>57</v>
      </c>
      <c r="C56" s="7"/>
      <c r="D56" s="27">
        <v>15000</v>
      </c>
      <c r="E56" s="34"/>
      <c r="F56" s="16"/>
      <c r="G56" s="19">
        <f t="shared" si="0"/>
        <v>15000</v>
      </c>
      <c r="H56" s="8">
        <f t="shared" si="16"/>
        <v>15000</v>
      </c>
      <c r="I56" s="9"/>
      <c r="J56" s="9">
        <f t="shared" si="17"/>
        <v>0</v>
      </c>
      <c r="K56" s="7"/>
    </row>
    <row r="57" spans="2:11" x14ac:dyDescent="0.25">
      <c r="B57" s="41" t="s">
        <v>58</v>
      </c>
      <c r="C57" s="7"/>
      <c r="D57" s="27">
        <v>150000</v>
      </c>
      <c r="E57" s="34"/>
      <c r="F57" s="16"/>
      <c r="G57" s="19">
        <f t="shared" si="0"/>
        <v>150000</v>
      </c>
      <c r="H57" s="8">
        <f t="shared" si="16"/>
        <v>150000</v>
      </c>
      <c r="I57" s="9"/>
      <c r="J57" s="9">
        <f t="shared" si="17"/>
        <v>0</v>
      </c>
      <c r="K57" s="7"/>
    </row>
    <row r="58" spans="2:11" x14ac:dyDescent="0.25">
      <c r="B58" s="41" t="s">
        <v>54</v>
      </c>
      <c r="C58" s="7"/>
      <c r="D58" s="27">
        <v>510000</v>
      </c>
      <c r="E58" s="34"/>
      <c r="F58" s="16"/>
      <c r="G58" s="19">
        <f t="shared" si="0"/>
        <v>510000</v>
      </c>
      <c r="H58" s="8">
        <f t="shared" si="16"/>
        <v>510000</v>
      </c>
      <c r="I58" s="9"/>
      <c r="J58" s="9">
        <f t="shared" si="17"/>
        <v>0</v>
      </c>
      <c r="K58" s="7"/>
    </row>
    <row r="59" spans="2:11" x14ac:dyDescent="0.25">
      <c r="B59" s="7"/>
      <c r="C59" s="4" t="s">
        <v>6</v>
      </c>
      <c r="D59" s="28">
        <f>SUM(D53:D58)</f>
        <v>1020000</v>
      </c>
      <c r="E59" s="35">
        <f t="shared" ref="E59:F59" si="18">SUM(E53:E58)</f>
        <v>0</v>
      </c>
      <c r="F59" s="10">
        <f t="shared" si="18"/>
        <v>0</v>
      </c>
      <c r="G59" s="17">
        <f>SUM(G53:G58)</f>
        <v>1020000</v>
      </c>
      <c r="H59" s="10">
        <f>SUM(H53:H58)</f>
        <v>1020000</v>
      </c>
      <c r="I59" s="14"/>
      <c r="J59" s="14">
        <f t="shared" si="17"/>
        <v>0</v>
      </c>
      <c r="K59" s="7"/>
    </row>
    <row r="60" spans="2:11" x14ac:dyDescent="0.25">
      <c r="B60" s="4">
        <v>10.1</v>
      </c>
      <c r="C60" s="4"/>
      <c r="D60" s="27"/>
      <c r="E60" s="34"/>
      <c r="F60" s="16"/>
      <c r="G60" s="19"/>
      <c r="H60" s="8"/>
      <c r="I60" s="9"/>
      <c r="J60" s="9"/>
      <c r="K60" s="7"/>
    </row>
    <row r="61" spans="2:11" x14ac:dyDescent="0.25">
      <c r="B61" s="41" t="s">
        <v>59</v>
      </c>
      <c r="C61" s="7"/>
      <c r="D61" s="27">
        <v>100000</v>
      </c>
      <c r="E61" s="34"/>
      <c r="F61" s="16"/>
      <c r="G61" s="19">
        <f t="shared" si="0"/>
        <v>100000</v>
      </c>
      <c r="H61" s="8">
        <f>D61-E61</f>
        <v>100000</v>
      </c>
      <c r="I61" s="20"/>
      <c r="J61" s="9">
        <f>F61/D61*100%</f>
        <v>0</v>
      </c>
      <c r="K61" s="7"/>
    </row>
    <row r="62" spans="2:11" x14ac:dyDescent="0.25">
      <c r="B62" s="41" t="s">
        <v>60</v>
      </c>
      <c r="C62" s="7"/>
      <c r="D62" s="27">
        <v>125000</v>
      </c>
      <c r="E62" s="34"/>
      <c r="F62" s="16"/>
      <c r="G62" s="19">
        <f t="shared" si="0"/>
        <v>125000</v>
      </c>
      <c r="H62" s="8">
        <f>D62-E62</f>
        <v>125000</v>
      </c>
      <c r="I62" s="20"/>
      <c r="J62" s="9">
        <f>F62/D62*100%</f>
        <v>0</v>
      </c>
      <c r="K62" s="7"/>
    </row>
    <row r="63" spans="2:11" x14ac:dyDescent="0.25">
      <c r="B63" s="41" t="s">
        <v>61</v>
      </c>
      <c r="C63" s="7"/>
      <c r="D63" s="27">
        <v>200000</v>
      </c>
      <c r="E63" s="34"/>
      <c r="F63" s="16"/>
      <c r="G63" s="19">
        <f t="shared" si="0"/>
        <v>200000</v>
      </c>
      <c r="H63" s="8">
        <f>D63-E63</f>
        <v>200000</v>
      </c>
      <c r="I63" s="20"/>
      <c r="J63" s="9">
        <f>F63/D63*100%</f>
        <v>0</v>
      </c>
      <c r="K63" s="7"/>
    </row>
    <row r="64" spans="2:11" x14ac:dyDescent="0.25">
      <c r="B64" s="41" t="s">
        <v>62</v>
      </c>
      <c r="C64" s="7"/>
      <c r="D64" s="27">
        <v>250000</v>
      </c>
      <c r="E64" s="34"/>
      <c r="F64" s="16"/>
      <c r="G64" s="19">
        <f t="shared" si="0"/>
        <v>250000</v>
      </c>
      <c r="H64" s="8">
        <f>D64-E64</f>
        <v>250000</v>
      </c>
      <c r="I64" s="20"/>
      <c r="J64" s="9">
        <f>F64/D64*100%</f>
        <v>0</v>
      </c>
      <c r="K64" s="7"/>
    </row>
    <row r="65" spans="2:16" x14ac:dyDescent="0.25">
      <c r="B65" s="4"/>
      <c r="C65" s="4" t="s">
        <v>6</v>
      </c>
      <c r="D65" s="28">
        <f>SUM(D61:D64)</f>
        <v>675000</v>
      </c>
      <c r="E65" s="35">
        <f t="shared" ref="E65:G65" si="19">SUM(E61:E64)</f>
        <v>0</v>
      </c>
      <c r="F65" s="10">
        <f t="shared" si="19"/>
        <v>0</v>
      </c>
      <c r="G65" s="17">
        <f t="shared" si="19"/>
        <v>675000</v>
      </c>
      <c r="H65" s="10">
        <f>SUM(H61:H64)</f>
        <v>675000</v>
      </c>
      <c r="I65" s="10"/>
      <c r="J65" s="14">
        <f>F65/D65*100%</f>
        <v>0</v>
      </c>
      <c r="K65" s="7"/>
    </row>
    <row r="66" spans="2:16" x14ac:dyDescent="0.25">
      <c r="B66" s="4">
        <v>11.1</v>
      </c>
      <c r="C66" s="4" t="s">
        <v>16</v>
      </c>
      <c r="D66" s="27"/>
      <c r="E66" s="34"/>
      <c r="F66" s="16"/>
      <c r="G66" s="19"/>
      <c r="H66" s="8"/>
      <c r="I66" s="9"/>
      <c r="J66" s="9"/>
      <c r="K66" s="7"/>
    </row>
    <row r="67" spans="2:16" x14ac:dyDescent="0.25">
      <c r="B67" s="41" t="s">
        <v>63</v>
      </c>
      <c r="C67" s="7" t="s">
        <v>17</v>
      </c>
      <c r="D67" s="27">
        <v>4114400</v>
      </c>
      <c r="E67" s="34">
        <v>1028600</v>
      </c>
      <c r="F67" s="15">
        <v>607550</v>
      </c>
      <c r="G67" s="19">
        <f>E67-F67</f>
        <v>421050</v>
      </c>
      <c r="H67" s="8">
        <f>D67-E67</f>
        <v>3085800</v>
      </c>
      <c r="I67" s="9">
        <f>F67/E67*100%</f>
        <v>0.59065720396655652</v>
      </c>
      <c r="J67" s="9">
        <f>F67/D67*100%</f>
        <v>0.14766430099163913</v>
      </c>
      <c r="K67" s="7"/>
    </row>
    <row r="68" spans="2:16" x14ac:dyDescent="0.25">
      <c r="B68" s="7"/>
      <c r="C68" s="4" t="s">
        <v>6</v>
      </c>
      <c r="D68" s="28">
        <f>D67</f>
        <v>4114400</v>
      </c>
      <c r="E68" s="35">
        <f>E67</f>
        <v>1028600</v>
      </c>
      <c r="F68" s="10">
        <f t="shared" ref="F68:H68" si="20">F67</f>
        <v>607550</v>
      </c>
      <c r="G68" s="17">
        <f>G67</f>
        <v>421050</v>
      </c>
      <c r="H68" s="10">
        <f t="shared" si="20"/>
        <v>3085800</v>
      </c>
      <c r="I68" s="14">
        <f>F68/E68*100%</f>
        <v>0.59065720396655652</v>
      </c>
      <c r="J68" s="14">
        <f>F68/D68*100%</f>
        <v>0.14766430099163913</v>
      </c>
      <c r="K68" s="7"/>
    </row>
    <row r="69" spans="2:16" x14ac:dyDescent="0.25">
      <c r="B69" s="7"/>
      <c r="C69" s="7"/>
      <c r="D69" s="27"/>
      <c r="E69" s="34"/>
      <c r="F69" s="16"/>
      <c r="G69" s="19"/>
      <c r="H69" s="8"/>
      <c r="I69" s="9"/>
      <c r="J69" s="9"/>
      <c r="K69" s="7"/>
    </row>
    <row r="70" spans="2:16" x14ac:dyDescent="0.25">
      <c r="B70" s="7">
        <v>12.1</v>
      </c>
      <c r="C70" s="4" t="s">
        <v>70</v>
      </c>
      <c r="D70" s="31"/>
      <c r="E70" s="38"/>
      <c r="F70" s="16"/>
      <c r="G70" s="19">
        <f t="shared" si="0"/>
        <v>0</v>
      </c>
      <c r="H70" s="8"/>
      <c r="I70" s="9"/>
      <c r="J70" s="9"/>
      <c r="K70" s="7"/>
    </row>
    <row r="71" spans="2:16" x14ac:dyDescent="0.25">
      <c r="B71" s="41" t="s">
        <v>64</v>
      </c>
      <c r="C71" s="7"/>
      <c r="D71" s="33">
        <f>400000*12</f>
        <v>4800000</v>
      </c>
      <c r="E71" s="40">
        <v>2400000</v>
      </c>
      <c r="F71" s="15">
        <v>2400000</v>
      </c>
      <c r="G71" s="19">
        <f>E71-F71</f>
        <v>0</v>
      </c>
      <c r="H71" s="8">
        <f>D71-E71</f>
        <v>2400000</v>
      </c>
      <c r="I71" s="9">
        <f>F71/E71*100%</f>
        <v>1</v>
      </c>
      <c r="J71" s="9">
        <f>F71/D71*100%</f>
        <v>0.5</v>
      </c>
      <c r="K71" s="7"/>
    </row>
    <row r="72" spans="2:16" x14ac:dyDescent="0.25">
      <c r="B72" s="41" t="s">
        <v>65</v>
      </c>
      <c r="C72" s="7"/>
      <c r="D72" s="33">
        <v>4800000</v>
      </c>
      <c r="E72" s="40">
        <v>2400000</v>
      </c>
      <c r="F72" s="15">
        <v>2400000</v>
      </c>
      <c r="G72" s="19">
        <f t="shared" ref="G72:G76" si="21">E72-F72</f>
        <v>0</v>
      </c>
      <c r="H72" s="8">
        <f t="shared" ref="H72:H75" si="22">D72-E72</f>
        <v>2400000</v>
      </c>
      <c r="I72" s="9">
        <f t="shared" ref="I72:I76" si="23">F72/E72*100%</f>
        <v>1</v>
      </c>
      <c r="J72" s="9">
        <f t="shared" ref="J72:J76" si="24">F72/D72*100%</f>
        <v>0.5</v>
      </c>
      <c r="K72" s="7"/>
    </row>
    <row r="73" spans="2:16" x14ac:dyDescent="0.25">
      <c r="B73" s="41" t="s">
        <v>66</v>
      </c>
      <c r="C73" s="7"/>
      <c r="D73" s="33">
        <f>500000*12</f>
        <v>6000000</v>
      </c>
      <c r="E73" s="40">
        <v>3000000</v>
      </c>
      <c r="F73" s="15">
        <v>2500000</v>
      </c>
      <c r="G73" s="19">
        <f t="shared" si="21"/>
        <v>500000</v>
      </c>
      <c r="H73" s="8">
        <f t="shared" si="22"/>
        <v>3000000</v>
      </c>
      <c r="I73" s="9">
        <f t="shared" si="23"/>
        <v>0.83333333333333337</v>
      </c>
      <c r="J73" s="9">
        <f t="shared" si="24"/>
        <v>0.41666666666666669</v>
      </c>
      <c r="K73" s="7"/>
      <c r="N73" s="1"/>
      <c r="O73" s="1"/>
      <c r="P73" s="1"/>
    </row>
    <row r="74" spans="2:16" x14ac:dyDescent="0.25">
      <c r="B74" s="41" t="s">
        <v>67</v>
      </c>
      <c r="C74" s="7"/>
      <c r="D74" s="33">
        <v>6000000</v>
      </c>
      <c r="E74" s="40">
        <v>3000000</v>
      </c>
      <c r="F74" s="15">
        <v>2820000</v>
      </c>
      <c r="G74" s="19">
        <f t="shared" si="21"/>
        <v>180000</v>
      </c>
      <c r="H74" s="8">
        <f t="shared" si="22"/>
        <v>3000000</v>
      </c>
      <c r="I74" s="9">
        <f t="shared" si="23"/>
        <v>0.94</v>
      </c>
      <c r="J74" s="9">
        <f t="shared" si="24"/>
        <v>0.47</v>
      </c>
      <c r="K74" s="7"/>
      <c r="N74" s="1"/>
      <c r="O74" s="1"/>
      <c r="P74" s="1"/>
    </row>
    <row r="75" spans="2:16" x14ac:dyDescent="0.25">
      <c r="B75" s="41" t="s">
        <v>68</v>
      </c>
      <c r="C75" s="7"/>
      <c r="D75" s="33">
        <f>150000*12</f>
        <v>1800000</v>
      </c>
      <c r="E75" s="40">
        <v>900000</v>
      </c>
      <c r="F75" s="15">
        <v>900000</v>
      </c>
      <c r="G75" s="19">
        <f t="shared" si="21"/>
        <v>0</v>
      </c>
      <c r="H75" s="8">
        <f t="shared" si="22"/>
        <v>900000</v>
      </c>
      <c r="I75" s="9">
        <f t="shared" si="23"/>
        <v>1</v>
      </c>
      <c r="J75" s="9">
        <f t="shared" si="24"/>
        <v>0.5</v>
      </c>
      <c r="K75" s="7"/>
    </row>
    <row r="76" spans="2:16" x14ac:dyDescent="0.25">
      <c r="B76" s="41" t="s">
        <v>69</v>
      </c>
      <c r="C76" s="7"/>
      <c r="D76" s="27">
        <v>800000</v>
      </c>
      <c r="E76" s="34">
        <v>400000</v>
      </c>
      <c r="F76" s="15">
        <v>400000</v>
      </c>
      <c r="G76" s="19">
        <f t="shared" si="21"/>
        <v>0</v>
      </c>
      <c r="H76" s="8">
        <f>D76-E76</f>
        <v>400000</v>
      </c>
      <c r="I76" s="9">
        <f t="shared" si="23"/>
        <v>1</v>
      </c>
      <c r="J76" s="9">
        <f t="shared" si="24"/>
        <v>0.5</v>
      </c>
      <c r="K76" s="7"/>
    </row>
    <row r="77" spans="2:16" x14ac:dyDescent="0.25">
      <c r="B77" s="7"/>
      <c r="C77" s="4" t="s">
        <v>6</v>
      </c>
      <c r="D77" s="28">
        <f>SUM(D71:D76)</f>
        <v>24200000</v>
      </c>
      <c r="E77" s="35">
        <f t="shared" ref="E77:G77" si="25">SUM(E71:E76)</f>
        <v>12100000</v>
      </c>
      <c r="F77" s="10">
        <f t="shared" si="25"/>
        <v>11420000</v>
      </c>
      <c r="G77" s="17">
        <f t="shared" si="25"/>
        <v>680000</v>
      </c>
      <c r="H77" s="10">
        <f>SUM(H71:H76)</f>
        <v>12100000</v>
      </c>
      <c r="I77" s="14">
        <f>F77/E77*100%</f>
        <v>0.94380165289256202</v>
      </c>
      <c r="J77" s="14">
        <f>F77/D77*100%</f>
        <v>0.47190082644628101</v>
      </c>
      <c r="K77" s="7"/>
    </row>
    <row r="78" spans="2:16" x14ac:dyDescent="0.25">
      <c r="B78" s="7"/>
      <c r="C78" s="4"/>
      <c r="D78" s="28"/>
      <c r="E78" s="35"/>
      <c r="F78" s="17"/>
      <c r="G78" s="17"/>
      <c r="H78" s="10"/>
      <c r="I78" s="9"/>
      <c r="J78" s="9"/>
      <c r="K78" s="7"/>
    </row>
    <row r="79" spans="2:16" x14ac:dyDescent="0.25">
      <c r="B79" s="7">
        <v>13.1</v>
      </c>
      <c r="C79" s="4" t="s">
        <v>75</v>
      </c>
      <c r="D79" s="31"/>
      <c r="E79" s="38"/>
      <c r="F79" s="16"/>
      <c r="G79" s="19">
        <f t="shared" si="0"/>
        <v>0</v>
      </c>
      <c r="H79" s="8"/>
      <c r="I79" s="9"/>
      <c r="J79" s="9"/>
      <c r="K79" s="7"/>
    </row>
    <row r="80" spans="2:16" x14ac:dyDescent="0.25">
      <c r="B80" s="41" t="s">
        <v>71</v>
      </c>
      <c r="C80" s="7"/>
      <c r="D80" s="33">
        <v>1320000</v>
      </c>
      <c r="E80" s="40">
        <v>660000</v>
      </c>
      <c r="F80" s="15">
        <v>660000</v>
      </c>
      <c r="G80" s="19">
        <f>E80-F80</f>
        <v>0</v>
      </c>
      <c r="H80" s="8">
        <f>D80-E80</f>
        <v>660000</v>
      </c>
      <c r="I80" s="9">
        <f>F80/E80*100%</f>
        <v>1</v>
      </c>
      <c r="J80" s="9">
        <f>F80/D80*100%</f>
        <v>0.5</v>
      </c>
      <c r="K80" s="7"/>
    </row>
    <row r="81" spans="2:11" x14ac:dyDescent="0.25">
      <c r="B81" s="41" t="s">
        <v>72</v>
      </c>
      <c r="C81" s="7"/>
      <c r="D81" s="33">
        <v>1200000</v>
      </c>
      <c r="E81" s="38">
        <v>600000</v>
      </c>
      <c r="F81" s="15">
        <v>600000</v>
      </c>
      <c r="G81" s="19">
        <f t="shared" ref="G81:G83" si="26">E81-F81</f>
        <v>0</v>
      </c>
      <c r="H81" s="8">
        <f t="shared" ref="H81:H83" si="27">D81-E81</f>
        <v>600000</v>
      </c>
      <c r="I81" s="9">
        <f t="shared" ref="I81:I87" si="28">F81/E81*100%</f>
        <v>1</v>
      </c>
      <c r="J81" s="9">
        <f t="shared" ref="J81:J83" si="29">F81/D81*100%</f>
        <v>0.5</v>
      </c>
      <c r="K81" s="7"/>
    </row>
    <row r="82" spans="2:11" x14ac:dyDescent="0.25">
      <c r="B82" s="41" t="s">
        <v>73</v>
      </c>
      <c r="C82" s="7"/>
      <c r="D82" s="33">
        <v>480000</v>
      </c>
      <c r="E82" s="40">
        <v>240000</v>
      </c>
      <c r="F82" s="15">
        <v>134300</v>
      </c>
      <c r="G82" s="19">
        <f t="shared" si="26"/>
        <v>105700</v>
      </c>
      <c r="H82" s="8">
        <f t="shared" si="27"/>
        <v>240000</v>
      </c>
      <c r="I82" s="9">
        <f t="shared" si="28"/>
        <v>0.55958333333333332</v>
      </c>
      <c r="J82" s="9">
        <f t="shared" si="29"/>
        <v>0.27979166666666666</v>
      </c>
      <c r="K82" s="7"/>
    </row>
    <row r="83" spans="2:11" x14ac:dyDescent="0.25">
      <c r="B83" s="41" t="s">
        <v>74</v>
      </c>
      <c r="C83" s="7"/>
      <c r="D83" s="33">
        <v>600000</v>
      </c>
      <c r="E83" s="40">
        <v>300000</v>
      </c>
      <c r="F83" s="15">
        <v>300000</v>
      </c>
      <c r="G83" s="19">
        <f t="shared" si="26"/>
        <v>0</v>
      </c>
      <c r="H83" s="8">
        <f t="shared" si="27"/>
        <v>300000</v>
      </c>
      <c r="I83" s="9">
        <f t="shared" si="28"/>
        <v>1</v>
      </c>
      <c r="J83" s="9">
        <f t="shared" si="29"/>
        <v>0.5</v>
      </c>
      <c r="K83" s="7"/>
    </row>
    <row r="84" spans="2:11" x14ac:dyDescent="0.25">
      <c r="B84" s="7"/>
      <c r="C84" s="4" t="s">
        <v>6</v>
      </c>
      <c r="D84" s="32">
        <f>SUM(D80:D83)</f>
        <v>3600000</v>
      </c>
      <c r="E84" s="39">
        <f t="shared" ref="E84:G84" si="30">SUM(E80:E83)</f>
        <v>1800000</v>
      </c>
      <c r="F84" s="12">
        <f>SUM(F80:F83)</f>
        <v>1694300</v>
      </c>
      <c r="G84" s="42">
        <f t="shared" si="30"/>
        <v>105700</v>
      </c>
      <c r="H84" s="12">
        <f>SUM(H80:H83)</f>
        <v>1800000</v>
      </c>
      <c r="I84" s="14">
        <f>F84/E84*100%</f>
        <v>0.94127777777777777</v>
      </c>
      <c r="J84" s="14">
        <f>F84/D84*100%</f>
        <v>0.47063888888888888</v>
      </c>
      <c r="K84" s="7"/>
    </row>
    <row r="85" spans="2:11" x14ac:dyDescent="0.25">
      <c r="B85" s="41">
        <v>14.1</v>
      </c>
      <c r="C85" s="5" t="s">
        <v>11</v>
      </c>
      <c r="D85" s="31"/>
      <c r="E85" s="38"/>
      <c r="F85" s="16"/>
      <c r="G85" s="19">
        <f t="shared" si="0"/>
        <v>0</v>
      </c>
      <c r="H85" s="8"/>
      <c r="I85" s="9"/>
      <c r="J85" s="9"/>
      <c r="K85" s="7"/>
    </row>
    <row r="86" spans="2:11" x14ac:dyDescent="0.25">
      <c r="B86" s="41" t="s">
        <v>76</v>
      </c>
      <c r="C86" s="7" t="s">
        <v>12</v>
      </c>
      <c r="D86" s="33">
        <v>1000000</v>
      </c>
      <c r="E86" s="40">
        <v>1000000</v>
      </c>
      <c r="F86" s="15">
        <v>784600</v>
      </c>
      <c r="G86" s="19">
        <f>E86-F86</f>
        <v>215400</v>
      </c>
      <c r="H86" s="8">
        <f>D86-E86</f>
        <v>0</v>
      </c>
      <c r="I86" s="9">
        <f>F86/E86*100%</f>
        <v>0.78459999999999996</v>
      </c>
      <c r="J86" s="9">
        <f>F86/D86*100%</f>
        <v>0.78459999999999996</v>
      </c>
      <c r="K86" s="7"/>
    </row>
    <row r="87" spans="2:11" x14ac:dyDescent="0.25">
      <c r="B87" s="7"/>
      <c r="C87" s="4" t="s">
        <v>6</v>
      </c>
      <c r="D87" s="32">
        <f>D86</f>
        <v>1000000</v>
      </c>
      <c r="E87" s="39">
        <f t="shared" ref="E87:F87" si="31">E86</f>
        <v>1000000</v>
      </c>
      <c r="F87" s="12">
        <f t="shared" si="31"/>
        <v>784600</v>
      </c>
      <c r="G87" s="42">
        <f>G86</f>
        <v>215400</v>
      </c>
      <c r="H87" s="12">
        <f>H86</f>
        <v>0</v>
      </c>
      <c r="I87" s="14">
        <f t="shared" si="28"/>
        <v>0.78459999999999996</v>
      </c>
      <c r="J87" s="14">
        <f>F87/D87*100%</f>
        <v>0.78459999999999996</v>
      </c>
      <c r="K87" s="7"/>
    </row>
    <row r="88" spans="2:11" x14ac:dyDescent="0.25">
      <c r="B88" s="7"/>
      <c r="C88" s="7"/>
      <c r="D88" s="31"/>
      <c r="E88" s="38"/>
      <c r="F88" s="7"/>
      <c r="G88" s="19">
        <f t="shared" si="0"/>
        <v>0</v>
      </c>
      <c r="H88" s="8"/>
      <c r="I88" s="9"/>
      <c r="J88" s="9"/>
      <c r="K88" s="7"/>
    </row>
    <row r="89" spans="2:11" x14ac:dyDescent="0.25">
      <c r="B89" s="21"/>
      <c r="C89" s="21" t="s">
        <v>13</v>
      </c>
      <c r="D89" s="22">
        <f>D11+D17+D21+D25+D31+D36+D45+D51+D59+D65+D68+D77+D84+D87</f>
        <v>79164400</v>
      </c>
      <c r="E89" s="22">
        <f t="shared" ref="E89:H89" si="32">E11+E17+E21+E25+E31+E36+E45+E51+E59+E65+E68+E77+E84+E87</f>
        <v>60183600</v>
      </c>
      <c r="F89" s="22">
        <f t="shared" si="32"/>
        <v>52633015</v>
      </c>
      <c r="G89" s="22">
        <f t="shared" si="32"/>
        <v>9545585</v>
      </c>
      <c r="H89" s="22">
        <f t="shared" si="32"/>
        <v>18980800</v>
      </c>
      <c r="I89" s="23">
        <f>F89/E89*100%</f>
        <v>0.87454082175210524</v>
      </c>
      <c r="J89" s="23">
        <f>F89/D89*100%</f>
        <v>0.6648571201196497</v>
      </c>
      <c r="K89" s="24"/>
    </row>
    <row r="91" spans="2:11" x14ac:dyDescent="0.25">
      <c r="F91" s="1"/>
      <c r="G91" s="2"/>
      <c r="H91" s="2"/>
    </row>
    <row r="92" spans="2:11" x14ac:dyDescent="0.25">
      <c r="E92" s="1"/>
      <c r="F92" s="1"/>
      <c r="G92" s="2"/>
    </row>
    <row r="93" spans="2:11" x14ac:dyDescent="0.25">
      <c r="D93" s="3"/>
      <c r="E93" s="3"/>
      <c r="F93" s="1"/>
      <c r="H93" s="2"/>
    </row>
    <row r="94" spans="2:11" x14ac:dyDescent="0.25">
      <c r="E94" s="2"/>
      <c r="F94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Ovuru</dc:creator>
  <cp:lastModifiedBy>Godfrey Ovuru</cp:lastModifiedBy>
  <dcterms:created xsi:type="dcterms:W3CDTF">2026-04-20T06:10:41Z</dcterms:created>
  <dcterms:modified xsi:type="dcterms:W3CDTF">2026-09-15T08:51:36Z</dcterms:modified>
</cp:coreProperties>
</file>