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O Back up 2023\BACK UP 2019 -2023\Desktop\DESTOP\SOFTWARE BY AKPAN\"/>
    </mc:Choice>
  </mc:AlternateContent>
  <xr:revisionPtr revIDLastSave="0" documentId="13_ncr:1_{5E44C217-3402-44D4-8E00-1EC70343968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sh book " sheetId="11" r:id="rId1"/>
    <sheet name="Bank reconciliation" sheetId="22" r:id="rId2"/>
    <sheet name="Sheet1" sheetId="6" state="hidden" r:id="rId3"/>
  </sheets>
  <calcPr calcId="191029"/>
</workbook>
</file>

<file path=xl/calcChain.xml><?xml version="1.0" encoding="utf-8"?>
<calcChain xmlns="http://schemas.openxmlformats.org/spreadsheetml/2006/main">
  <c r="E24" i="22" l="1"/>
  <c r="E52" i="22" s="1"/>
  <c r="E50" i="22"/>
  <c r="E41" i="22"/>
  <c r="I12" i="11" l="1"/>
  <c r="I13" i="11"/>
  <c r="I14" i="11" s="1"/>
  <c r="I15" i="11" s="1"/>
  <c r="I16" i="11" s="1"/>
  <c r="I17" i="11" s="1"/>
  <c r="I18" i="11" s="1"/>
  <c r="I19" i="11" s="1"/>
  <c r="I20" i="11" s="1"/>
  <c r="I21" i="11" s="1"/>
  <c r="I22" i="11" s="1"/>
  <c r="I23" i="11" s="1"/>
  <c r="I24" i="11" s="1"/>
  <c r="I25" i="11" s="1"/>
  <c r="I26" i="11" s="1"/>
  <c r="I27" i="11" s="1"/>
  <c r="I28" i="11" s="1"/>
  <c r="I29" i="11" s="1"/>
  <c r="I30" i="11" s="1"/>
  <c r="I11" i="11"/>
  <c r="H32" i="11" l="1"/>
  <c r="I31" i="11" l="1"/>
  <c r="I32" i="11" s="1"/>
</calcChain>
</file>

<file path=xl/sharedStrings.xml><?xml version="1.0" encoding="utf-8"?>
<sst xmlns="http://schemas.openxmlformats.org/spreadsheetml/2006/main" count="91" uniqueCount="71">
  <si>
    <t>Date</t>
  </si>
  <si>
    <t>Description of Payment</t>
  </si>
  <si>
    <t>Cheque Number</t>
  </si>
  <si>
    <t>Balance</t>
  </si>
  <si>
    <t>a) Balance as on statement:</t>
  </si>
  <si>
    <t>(e.g. un-banked income and receipts)</t>
  </si>
  <si>
    <t>d) Total deduction</t>
  </si>
  <si>
    <t>e) Total addition</t>
  </si>
  <si>
    <t>Signed:</t>
  </si>
  <si>
    <t>(e.g. un-presented cheques)</t>
  </si>
  <si>
    <t>Payee</t>
  </si>
  <si>
    <t>Amount</t>
  </si>
  <si>
    <t>(e.g. income received directly into the bank account)</t>
  </si>
  <si>
    <t xml:space="preserve">Plus payments on statement, not in cashbook </t>
  </si>
  <si>
    <t>(e.g. direct debits &amp; bank charges)</t>
  </si>
  <si>
    <t>f) Balance in Cash Book (Before/after adjustments)</t>
  </si>
  <si>
    <t xml:space="preserve">NAME OF ENTITY: </t>
  </si>
  <si>
    <t>Salary</t>
  </si>
  <si>
    <t>M/V Fuel</t>
  </si>
  <si>
    <t>M/V Repairs</t>
  </si>
  <si>
    <t>M/V Service &amp; Maintenance</t>
  </si>
  <si>
    <t>Public fares</t>
  </si>
  <si>
    <t>Local Per Diem</t>
  </si>
  <si>
    <t>Venue costs</t>
  </si>
  <si>
    <t>Utilities: Power &amp; Water exps</t>
  </si>
  <si>
    <t>Telephone Costs</t>
  </si>
  <si>
    <t>Postage &amp; Courier Services</t>
  </si>
  <si>
    <t>Office Stationery &amp; Printing</t>
  </si>
  <si>
    <t>Office Supplies</t>
  </si>
  <si>
    <t>Bank Charges</t>
  </si>
  <si>
    <t>Rent &amp; Rates</t>
  </si>
  <si>
    <t>Security &amp; security guards</t>
  </si>
  <si>
    <t>Repairs on Non Health Equipment</t>
  </si>
  <si>
    <t>External Audit fees</t>
  </si>
  <si>
    <t>Inventory - Non Health Products/equipment</t>
  </si>
  <si>
    <t>Meals &amp; Refreshments</t>
  </si>
  <si>
    <t>Professional fees/charges</t>
  </si>
  <si>
    <t>Furniture</t>
  </si>
  <si>
    <t>Computers, computer equipment, Software and applic</t>
  </si>
  <si>
    <t>Training Materials</t>
  </si>
  <si>
    <t>Support to Drama Groups</t>
  </si>
  <si>
    <t>I.T. Support Costs</t>
  </si>
  <si>
    <t>Facilitators' Allowances &amp; Honorarium</t>
  </si>
  <si>
    <t>Name</t>
  </si>
  <si>
    <t>Sign</t>
  </si>
  <si>
    <t>Prepared by:</t>
  </si>
  <si>
    <t>Reviewed by:</t>
  </si>
  <si>
    <t>Approved by:</t>
  </si>
  <si>
    <t>Payment (Cr)</t>
  </si>
  <si>
    <t>Receipt (Dr)</t>
  </si>
  <si>
    <t>PV Number</t>
  </si>
  <si>
    <t>Budget Line</t>
  </si>
  <si>
    <t>CASHBOOK</t>
  </si>
  <si>
    <t>Project:</t>
  </si>
  <si>
    <t>Donor:</t>
  </si>
  <si>
    <t>Month:</t>
  </si>
  <si>
    <t>Balance B/d</t>
  </si>
  <si>
    <t>Comments(if any)</t>
  </si>
  <si>
    <t>RURAL INNITIATIVE FOR COMMUNITY EMPOWERMENT - WESTNILE</t>
  </si>
  <si>
    <t>Less payments in cashbook, not on statement</t>
  </si>
  <si>
    <t>Chq.No.</t>
  </si>
  <si>
    <t>b) Total deduction</t>
  </si>
  <si>
    <t>Plus receipts in cashbook, not on statement</t>
  </si>
  <si>
    <t>Recpt No.</t>
  </si>
  <si>
    <t>c) Total addition</t>
  </si>
  <si>
    <t>Less receipts on statement, not in cashbook</t>
  </si>
  <si>
    <t xml:space="preserve">Bank reconciliation statement for period ended: </t>
  </si>
  <si>
    <t xml:space="preserve">Reconciliation reviewed  by: </t>
  </si>
  <si>
    <t xml:space="preserve">Date: </t>
  </si>
  <si>
    <t xml:space="preserve">Reconciliation approved by: </t>
  </si>
  <si>
    <r>
      <t xml:space="preserve"> Rural Initiative for Community Empowerment West Nile</t>
    </r>
    <r>
      <rPr>
        <b/>
        <u/>
        <sz val="18"/>
        <color theme="1"/>
        <rFont val="Garamond"/>
        <family val="1"/>
      </rPr>
      <t xml:space="preserve"> (RICE West Nile</t>
    </r>
    <r>
      <rPr>
        <b/>
        <sz val="18"/>
        <color theme="1"/>
        <rFont val="Garamond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</si>
</sst>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name val="Garamond"/>
      <family val="1"/>
    </font>
    <font>
      <sz val="18"/>
      <name val="Garamond"/>
      <family val="1"/>
    </font>
    <font>
      <i/>
      <sz val="18"/>
      <name val="Garamond"/>
      <family val="1"/>
    </font>
    <font>
      <b/>
      <sz val="18"/>
      <color theme="1"/>
      <name val="Garamond"/>
      <family val="1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3"/>
      <color rgb="FF000000"/>
      <name val="Times New Roman"/>
      <family val="1"/>
    </font>
    <font>
      <b/>
      <u/>
      <sz val="18"/>
      <color theme="1"/>
      <name val="Garamond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41" fontId="2" fillId="0" borderId="0" applyFont="0" applyFill="0" applyBorder="0" applyAlignment="0" applyProtection="0"/>
  </cellStyleXfs>
  <cellXfs count="106">
    <xf numFmtId="0" fontId="0" fillId="0" borderId="0" xfId="0"/>
    <xf numFmtId="0" fontId="3" fillId="0" borderId="0" xfId="0" applyFont="1" applyAlignment="1">
      <alignment vertical="top"/>
    </xf>
    <xf numFmtId="0" fontId="3" fillId="0" borderId="1" xfId="0" applyFont="1" applyBorder="1" applyAlignment="1">
      <alignment wrapText="1"/>
    </xf>
    <xf numFmtId="0" fontId="3" fillId="0" borderId="0" xfId="0" applyFont="1"/>
    <xf numFmtId="14" fontId="4" fillId="2" borderId="5" xfId="0" applyNumberFormat="1" applyFont="1" applyFill="1" applyBorder="1" applyAlignment="1">
      <alignment horizontal="right" vertical="top"/>
    </xf>
    <xf numFmtId="2" fontId="4" fillId="2" borderId="9" xfId="0" applyNumberFormat="1" applyFont="1" applyFill="1" applyBorder="1" applyAlignment="1">
      <alignment horizontal="left" vertical="top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vertical="top" wrapText="1"/>
    </xf>
    <xf numFmtId="165" fontId="4" fillId="0" borderId="5" xfId="1" applyNumberFormat="1" applyFont="1" applyFill="1" applyBorder="1" applyAlignment="1">
      <alignment vertical="top"/>
    </xf>
    <xf numFmtId="41" fontId="4" fillId="0" borderId="1" xfId="3" applyFont="1" applyFill="1" applyBorder="1" applyAlignment="1">
      <alignment vertical="top"/>
    </xf>
    <xf numFmtId="165" fontId="5" fillId="0" borderId="6" xfId="1" applyNumberFormat="1" applyFont="1" applyFill="1" applyBorder="1" applyAlignment="1">
      <alignment vertical="top"/>
    </xf>
    <xf numFmtId="0" fontId="4" fillId="0" borderId="6" xfId="0" quotePrefix="1" applyFont="1" applyBorder="1" applyAlignment="1">
      <alignment horizontal="right" vertical="top"/>
    </xf>
    <xf numFmtId="0" fontId="4" fillId="0" borderId="0" xfId="0" applyFont="1"/>
    <xf numFmtId="0" fontId="4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right"/>
    </xf>
    <xf numFmtId="0" fontId="4" fillId="2" borderId="1" xfId="0" applyFont="1" applyFill="1" applyBorder="1" applyAlignment="1">
      <alignment wrapText="1"/>
    </xf>
    <xf numFmtId="165" fontId="4" fillId="2" borderId="5" xfId="1" applyNumberFormat="1" applyFont="1" applyFill="1" applyBorder="1" applyAlignment="1">
      <alignment vertical="top"/>
    </xf>
    <xf numFmtId="0" fontId="4" fillId="2" borderId="6" xfId="0" quotePrefix="1" applyFont="1" applyFill="1" applyBorder="1" applyAlignment="1">
      <alignment horizontal="right" vertical="top"/>
    </xf>
    <xf numFmtId="0" fontId="4" fillId="2" borderId="0" xfId="0" applyFont="1" applyFill="1"/>
    <xf numFmtId="165" fontId="5" fillId="0" borderId="1" xfId="1" applyNumberFormat="1" applyFont="1" applyFill="1" applyBorder="1" applyAlignment="1">
      <alignment vertical="top"/>
    </xf>
    <xf numFmtId="0" fontId="3" fillId="0" borderId="1" xfId="0" applyFont="1" applyBorder="1" applyAlignment="1">
      <alignment horizontal="right" vertical="top"/>
    </xf>
    <xf numFmtId="2" fontId="3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41" fontId="3" fillId="0" borderId="1" xfId="3" applyFont="1" applyBorder="1" applyAlignment="1">
      <alignment vertical="top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3" fillId="2" borderId="0" xfId="0" applyFont="1" applyFill="1" applyAlignment="1">
      <alignment horizontal="right" vertical="top"/>
    </xf>
    <xf numFmtId="2" fontId="3" fillId="2" borderId="0" xfId="0" applyNumberFormat="1" applyFont="1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right"/>
    </xf>
    <xf numFmtId="0" fontId="3" fillId="2" borderId="0" xfId="0" applyFont="1" applyFill="1"/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vertical="top"/>
    </xf>
    <xf numFmtId="41" fontId="3" fillId="2" borderId="0" xfId="3" applyFont="1" applyFill="1" applyAlignment="1">
      <alignment vertical="top"/>
    </xf>
    <xf numFmtId="22" fontId="3" fillId="2" borderId="0" xfId="0" applyNumberFormat="1" applyFont="1" applyFill="1" applyAlignment="1">
      <alignment vertical="top"/>
    </xf>
    <xf numFmtId="0" fontId="3" fillId="2" borderId="2" xfId="0" applyFont="1" applyFill="1" applyBorder="1" applyAlignment="1">
      <alignment vertical="top"/>
    </xf>
    <xf numFmtId="2" fontId="3" fillId="2" borderId="8" xfId="0" applyNumberFormat="1" applyFont="1" applyFill="1" applyBorder="1" applyAlignment="1">
      <alignment vertical="top"/>
    </xf>
    <xf numFmtId="0" fontId="3" fillId="2" borderId="3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1" fontId="3" fillId="2" borderId="3" xfId="3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49" fontId="4" fillId="2" borderId="9" xfId="0" quotePrefix="1" applyNumberFormat="1" applyFont="1" applyFill="1" applyBorder="1" applyAlignment="1">
      <alignment horizontal="left" vertical="top"/>
    </xf>
    <xf numFmtId="165" fontId="4" fillId="2" borderId="1" xfId="1" applyNumberFormat="1" applyFont="1" applyFill="1" applyBorder="1" applyAlignment="1">
      <alignment vertical="top"/>
    </xf>
    <xf numFmtId="165" fontId="5" fillId="2" borderId="6" xfId="1" applyNumberFormat="1" applyFont="1" applyFill="1" applyBorder="1" applyAlignment="1">
      <alignment vertical="top"/>
    </xf>
    <xf numFmtId="0" fontId="4" fillId="2" borderId="11" xfId="0" quotePrefix="1" applyFont="1" applyFill="1" applyBorder="1" applyAlignment="1">
      <alignment horizontal="right" vertical="top"/>
    </xf>
    <xf numFmtId="0" fontId="4" fillId="2" borderId="1" xfId="0" applyFont="1" applyFill="1" applyBorder="1" applyAlignment="1">
      <alignment horizontal="left" vertical="center"/>
    </xf>
    <xf numFmtId="165" fontId="4" fillId="2" borderId="1" xfId="0" applyNumberFormat="1" applyFont="1" applyFill="1" applyBorder="1" applyAlignment="1">
      <alignment horizontal="left" vertical="top" wrapText="1"/>
    </xf>
    <xf numFmtId="14" fontId="4" fillId="2" borderId="1" xfId="0" applyNumberFormat="1" applyFont="1" applyFill="1" applyBorder="1" applyAlignment="1">
      <alignment horizontal="right" vertical="top"/>
    </xf>
    <xf numFmtId="0" fontId="3" fillId="2" borderId="12" xfId="0" applyFont="1" applyFill="1" applyBorder="1" applyAlignment="1">
      <alignment horizontal="left" vertical="top"/>
    </xf>
    <xf numFmtId="0" fontId="3" fillId="2" borderId="12" xfId="0" applyFont="1" applyFill="1" applyBorder="1" applyAlignment="1">
      <alignment vertical="center"/>
    </xf>
    <xf numFmtId="0" fontId="3" fillId="2" borderId="12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right" vertical="center"/>
    </xf>
    <xf numFmtId="43" fontId="3" fillId="2" borderId="0" xfId="3" applyNumberFormat="1" applyFont="1" applyFill="1" applyAlignment="1">
      <alignment vertical="top"/>
    </xf>
    <xf numFmtId="0" fontId="3" fillId="2" borderId="1" xfId="0" applyFont="1" applyFill="1" applyBorder="1" applyAlignment="1">
      <alignment horizontal="right" wrapText="1"/>
    </xf>
    <xf numFmtId="165" fontId="3" fillId="2" borderId="1" xfId="0" applyNumberFormat="1" applyFont="1" applyFill="1" applyBorder="1" applyAlignment="1">
      <alignment horizontal="left" vertical="top" wrapText="1"/>
    </xf>
    <xf numFmtId="165" fontId="3" fillId="2" borderId="0" xfId="0" applyNumberFormat="1" applyFont="1" applyFill="1" applyAlignment="1">
      <alignment vertical="top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right"/>
    </xf>
    <xf numFmtId="41" fontId="3" fillId="2" borderId="0" xfId="0" applyNumberFormat="1" applyFont="1" applyFill="1" applyAlignment="1">
      <alignment vertical="top"/>
    </xf>
    <xf numFmtId="43" fontId="3" fillId="2" borderId="0" xfId="0" applyNumberFormat="1" applyFont="1" applyFill="1" applyAlignment="1">
      <alignment vertical="top"/>
    </xf>
    <xf numFmtId="41" fontId="4" fillId="2" borderId="5" xfId="3" applyFont="1" applyFill="1" applyBorder="1" applyAlignment="1">
      <alignment vertical="top"/>
    </xf>
    <xf numFmtId="41" fontId="4" fillId="2" borderId="1" xfId="3" applyFont="1" applyFill="1" applyBorder="1" applyAlignment="1">
      <alignment vertical="top"/>
    </xf>
    <xf numFmtId="0" fontId="4" fillId="2" borderId="10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vertical="top"/>
    </xf>
    <xf numFmtId="2" fontId="4" fillId="2" borderId="1" xfId="0" applyNumberFormat="1" applyFont="1" applyFill="1" applyBorder="1" applyAlignment="1">
      <alignment horizontal="left" vertical="top"/>
    </xf>
    <xf numFmtId="0" fontId="6" fillId="0" borderId="0" xfId="0" applyFont="1"/>
    <xf numFmtId="0" fontId="3" fillId="2" borderId="1" xfId="0" applyFont="1" applyFill="1" applyBorder="1" applyAlignment="1">
      <alignment vertical="top"/>
    </xf>
    <xf numFmtId="0" fontId="6" fillId="0" borderId="1" xfId="0" applyFont="1" applyBorder="1"/>
    <xf numFmtId="41" fontId="3" fillId="2" borderId="1" xfId="3" applyFont="1" applyFill="1" applyBorder="1" applyAlignment="1">
      <alignment vertical="top"/>
    </xf>
    <xf numFmtId="2" fontId="3" fillId="2" borderId="1" xfId="0" applyNumberFormat="1" applyFont="1" applyFill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/>
    <xf numFmtId="165" fontId="8" fillId="0" borderId="0" xfId="0" applyNumberFormat="1" applyFont="1"/>
    <xf numFmtId="0" fontId="8" fillId="0" borderId="0" xfId="0" applyFont="1"/>
    <xf numFmtId="0" fontId="8" fillId="0" borderId="0" xfId="0" applyFont="1" applyAlignment="1">
      <alignment horizontal="left" vertical="top"/>
    </xf>
    <xf numFmtId="17" fontId="8" fillId="0" borderId="0" xfId="0" applyNumberFormat="1" applyFont="1"/>
    <xf numFmtId="0" fontId="8" fillId="0" borderId="0" xfId="0" applyFont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14" fontId="8" fillId="0" borderId="1" xfId="0" applyNumberFormat="1" applyFont="1" applyBorder="1"/>
    <xf numFmtId="165" fontId="8" fillId="0" borderId="1" xfId="0" applyNumberFormat="1" applyFont="1" applyBorder="1"/>
    <xf numFmtId="0" fontId="8" fillId="0" borderId="1" xfId="0" applyFont="1" applyBorder="1"/>
    <xf numFmtId="165" fontId="7" fillId="0" borderId="1" xfId="0" applyNumberFormat="1" applyFont="1" applyBorder="1"/>
    <xf numFmtId="14" fontId="8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wrapText="1"/>
    </xf>
    <xf numFmtId="165" fontId="8" fillId="2" borderId="1" xfId="1" applyNumberFormat="1" applyFont="1" applyFill="1" applyBorder="1"/>
    <xf numFmtId="165" fontId="8" fillId="0" borderId="1" xfId="1" applyNumberFormat="1" applyFont="1" applyBorder="1"/>
    <xf numFmtId="165" fontId="8" fillId="2" borderId="1" xfId="0" applyNumberFormat="1" applyFont="1" applyFill="1" applyBorder="1"/>
    <xf numFmtId="0" fontId="9" fillId="3" borderId="1" xfId="0" applyFont="1" applyFill="1" applyBorder="1" applyAlignment="1">
      <alignment horizontal="left" wrapText="1"/>
    </xf>
    <xf numFmtId="14" fontId="8" fillId="0" borderId="1" xfId="0" applyNumberFormat="1" applyFont="1" applyBorder="1" applyAlignment="1">
      <alignment horizontal="left" vertical="top" wrapText="1"/>
    </xf>
    <xf numFmtId="0" fontId="8" fillId="2" borderId="1" xfId="0" applyFont="1" applyFill="1" applyBorder="1" applyAlignment="1">
      <alignment wrapText="1"/>
    </xf>
    <xf numFmtId="0" fontId="8" fillId="2" borderId="1" xfId="0" applyFont="1" applyFill="1" applyBorder="1"/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/>
    <xf numFmtId="0" fontId="7" fillId="0" borderId="0" xfId="0" applyFont="1" applyAlignment="1">
      <alignment horizontal="left" vertical="top" wrapText="1"/>
    </xf>
    <xf numFmtId="165" fontId="7" fillId="0" borderId="0" xfId="0" applyNumberFormat="1" applyFont="1"/>
    <xf numFmtId="2" fontId="3" fillId="2" borderId="1" xfId="0" applyNumberFormat="1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center" vertical="top"/>
    </xf>
  </cellXfs>
  <cellStyles count="4">
    <cellStyle name="Comma" xfId="1" builtinId="3"/>
    <cellStyle name="Comma [0]" xfId="3" builtinId="6"/>
    <cellStyle name="Normal" xfId="0" builtinId="0"/>
    <cellStyle name="Normal 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B104F-63C1-4B44-A713-61B61B9A5BCC}">
  <dimension ref="A1:J45"/>
  <sheetViews>
    <sheetView tabSelected="1" zoomScale="69" zoomScaleNormal="69" workbookViewId="0">
      <selection activeCell="E11" sqref="E11"/>
    </sheetView>
  </sheetViews>
  <sheetFormatPr defaultColWidth="9.140625" defaultRowHeight="23.25" x14ac:dyDescent="0.35"/>
  <cols>
    <col min="1" max="1" width="34.85546875" style="30" customWidth="1"/>
    <col min="2" max="2" width="19.7109375" style="31" customWidth="1"/>
    <col min="3" max="3" width="23.5703125" style="32" customWidth="1"/>
    <col min="4" max="4" width="16" style="33" customWidth="1"/>
    <col min="5" max="5" width="34.7109375" style="34" customWidth="1"/>
    <col min="6" max="6" width="76.7109375" style="35" customWidth="1"/>
    <col min="7" max="7" width="27.7109375" style="36" customWidth="1"/>
    <col min="8" max="8" width="24.85546875" style="37" customWidth="1"/>
    <col min="9" max="9" width="33.28515625" style="36" customWidth="1"/>
    <col min="10" max="10" width="30.7109375" style="36" customWidth="1"/>
    <col min="11" max="16384" width="9.140625" style="34"/>
  </cols>
  <sheetData>
    <row r="1" spans="1:10" ht="19.5" customHeight="1" x14ac:dyDescent="0.35">
      <c r="I1" s="38">
        <v>45899</v>
      </c>
    </row>
    <row r="2" spans="1:10" x14ac:dyDescent="0.35">
      <c r="A2" s="36" t="s">
        <v>16</v>
      </c>
      <c r="D2" s="36"/>
      <c r="E2" s="74"/>
    </row>
    <row r="3" spans="1:10" x14ac:dyDescent="0.35">
      <c r="A3" s="75" t="s">
        <v>16</v>
      </c>
      <c r="B3" s="76" t="s">
        <v>70</v>
      </c>
      <c r="C3" s="65"/>
      <c r="D3" s="75"/>
      <c r="E3" s="76"/>
      <c r="F3" s="65"/>
      <c r="G3" s="75"/>
      <c r="H3" s="77"/>
      <c r="I3" s="75"/>
    </row>
    <row r="4" spans="1:10" x14ac:dyDescent="0.35">
      <c r="A4" s="75" t="s">
        <v>53</v>
      </c>
      <c r="B4" s="104"/>
      <c r="C4" s="104"/>
      <c r="D4" s="104"/>
      <c r="E4" s="104"/>
      <c r="F4" s="104"/>
      <c r="G4" s="104"/>
      <c r="H4" s="104"/>
      <c r="I4" s="104"/>
    </row>
    <row r="5" spans="1:10" x14ac:dyDescent="0.35">
      <c r="A5" s="75" t="s">
        <v>54</v>
      </c>
      <c r="B5" s="104"/>
      <c r="C5" s="104"/>
      <c r="D5" s="104"/>
      <c r="E5" s="104"/>
      <c r="F5" s="104"/>
      <c r="G5" s="104"/>
      <c r="H5" s="104"/>
      <c r="I5" s="104"/>
    </row>
    <row r="6" spans="1:10" x14ac:dyDescent="0.35">
      <c r="A6" s="75"/>
      <c r="B6" s="78"/>
      <c r="C6" s="78"/>
      <c r="D6" s="78"/>
      <c r="E6" s="78"/>
      <c r="F6" s="78"/>
      <c r="G6" s="78"/>
      <c r="H6" s="78"/>
      <c r="I6" s="78"/>
    </row>
    <row r="7" spans="1:10" x14ac:dyDescent="0.35">
      <c r="A7" s="105" t="s">
        <v>52</v>
      </c>
      <c r="B7" s="105"/>
      <c r="C7" s="105"/>
      <c r="D7" s="105"/>
      <c r="E7" s="105"/>
      <c r="F7" s="105"/>
      <c r="G7" s="105"/>
      <c r="H7" s="105"/>
      <c r="I7" s="105"/>
    </row>
    <row r="8" spans="1:10" ht="26.25" customHeight="1" thickBot="1" x14ac:dyDescent="0.4">
      <c r="A8" s="32" t="s">
        <v>55</v>
      </c>
    </row>
    <row r="9" spans="1:10" s="36" customFormat="1" ht="54.75" customHeight="1" x14ac:dyDescent="0.25">
      <c r="A9" s="39" t="s">
        <v>0</v>
      </c>
      <c r="B9" s="40" t="s">
        <v>50</v>
      </c>
      <c r="C9" s="41" t="s">
        <v>51</v>
      </c>
      <c r="D9" s="42" t="s">
        <v>2</v>
      </c>
      <c r="E9" s="43" t="s">
        <v>10</v>
      </c>
      <c r="F9" s="41" t="s">
        <v>1</v>
      </c>
      <c r="G9" s="44" t="s">
        <v>49</v>
      </c>
      <c r="H9" s="45" t="s">
        <v>48</v>
      </c>
      <c r="I9" s="46" t="s">
        <v>3</v>
      </c>
      <c r="J9" s="46" t="s">
        <v>57</v>
      </c>
    </row>
    <row r="10" spans="1:10" s="13" customFormat="1" ht="29.25" customHeight="1" x14ac:dyDescent="0.35">
      <c r="A10" s="4"/>
      <c r="B10" s="5"/>
      <c r="C10" s="28"/>
      <c r="D10" s="6"/>
      <c r="E10" s="7"/>
      <c r="F10" s="8" t="s">
        <v>56</v>
      </c>
      <c r="G10" s="9"/>
      <c r="H10" s="10"/>
      <c r="I10" s="11">
        <v>179355503</v>
      </c>
      <c r="J10" s="12"/>
    </row>
    <row r="11" spans="1:10" s="21" customFormat="1" ht="45" customHeight="1" x14ac:dyDescent="0.35">
      <c r="A11" s="4"/>
      <c r="B11" s="47"/>
      <c r="C11" s="29"/>
      <c r="D11" s="17"/>
      <c r="E11" s="18"/>
      <c r="F11" s="14"/>
      <c r="G11" s="19"/>
      <c r="H11" s="69">
        <v>2360000</v>
      </c>
      <c r="I11" s="49">
        <f>I10+G11-H11</f>
        <v>176995503</v>
      </c>
      <c r="J11" s="20"/>
    </row>
    <row r="12" spans="1:10" s="21" customFormat="1" ht="44.1" customHeight="1" x14ac:dyDescent="0.35">
      <c r="A12" s="4"/>
      <c r="B12" s="47"/>
      <c r="C12" s="29"/>
      <c r="D12" s="17"/>
      <c r="E12" s="18"/>
      <c r="F12" s="52"/>
      <c r="G12" s="19"/>
      <c r="H12" s="69">
        <v>1912500</v>
      </c>
      <c r="I12" s="49">
        <f t="shared" ref="I12:I30" si="0">I11+G12-H12</f>
        <v>175083003</v>
      </c>
      <c r="J12" s="20"/>
    </row>
    <row r="13" spans="1:10" s="21" customFormat="1" ht="49.5" customHeight="1" x14ac:dyDescent="0.35">
      <c r="A13" s="4"/>
      <c r="B13" s="47"/>
      <c r="C13" s="29"/>
      <c r="D13" s="17"/>
      <c r="E13" s="18"/>
      <c r="F13" s="52"/>
      <c r="G13" s="48"/>
      <c r="H13" s="70"/>
      <c r="I13" s="49">
        <f t="shared" si="0"/>
        <v>175083003</v>
      </c>
      <c r="J13" s="50"/>
    </row>
    <row r="14" spans="1:10" s="21" customFormat="1" ht="49.5" customHeight="1" x14ac:dyDescent="0.35">
      <c r="A14" s="4"/>
      <c r="B14" s="47"/>
      <c r="C14" s="29"/>
      <c r="D14" s="17"/>
      <c r="E14" s="51"/>
      <c r="F14" s="52"/>
      <c r="G14" s="48"/>
      <c r="H14" s="70"/>
      <c r="I14" s="49">
        <f t="shared" si="0"/>
        <v>175083003</v>
      </c>
      <c r="J14" s="50"/>
    </row>
    <row r="15" spans="1:10" s="21" customFormat="1" ht="68.25" customHeight="1" x14ac:dyDescent="0.35">
      <c r="A15" s="4"/>
      <c r="B15" s="47"/>
      <c r="C15" s="29"/>
      <c r="D15" s="17"/>
      <c r="E15" s="18"/>
      <c r="F15" s="14"/>
      <c r="G15" s="19"/>
      <c r="H15" s="69"/>
      <c r="I15" s="49">
        <f t="shared" si="0"/>
        <v>175083003</v>
      </c>
      <c r="J15" s="20"/>
    </row>
    <row r="16" spans="1:10" s="21" customFormat="1" ht="47.45" customHeight="1" x14ac:dyDescent="0.35">
      <c r="A16" s="4"/>
      <c r="B16" s="47"/>
      <c r="C16" s="29"/>
      <c r="D16" s="17"/>
      <c r="E16" s="18"/>
      <c r="F16" s="14"/>
      <c r="G16" s="19"/>
      <c r="H16" s="69"/>
      <c r="I16" s="49">
        <f t="shared" si="0"/>
        <v>175083003</v>
      </c>
      <c r="J16" s="20"/>
    </row>
    <row r="17" spans="1:10" s="21" customFormat="1" ht="49.5" customHeight="1" x14ac:dyDescent="0.35">
      <c r="A17" s="4"/>
      <c r="B17" s="47"/>
      <c r="C17" s="29"/>
      <c r="D17" s="17"/>
      <c r="E17" s="18"/>
      <c r="F17" s="14"/>
      <c r="G17" s="48"/>
      <c r="H17" s="70"/>
      <c r="I17" s="49">
        <f t="shared" si="0"/>
        <v>175083003</v>
      </c>
      <c r="J17" s="50"/>
    </row>
    <row r="18" spans="1:10" s="21" customFormat="1" ht="53.25" customHeight="1" x14ac:dyDescent="0.35">
      <c r="A18" s="4"/>
      <c r="B18" s="47"/>
      <c r="C18" s="29"/>
      <c r="D18" s="17"/>
      <c r="E18" s="18"/>
      <c r="F18" s="14"/>
      <c r="G18" s="19"/>
      <c r="H18" s="69"/>
      <c r="I18" s="49">
        <f t="shared" si="0"/>
        <v>175083003</v>
      </c>
      <c r="J18" s="20"/>
    </row>
    <row r="19" spans="1:10" s="21" customFormat="1" ht="51.75" customHeight="1" x14ac:dyDescent="0.35">
      <c r="A19" s="4"/>
      <c r="B19" s="47"/>
      <c r="C19" s="29"/>
      <c r="D19" s="17"/>
      <c r="E19" s="18"/>
      <c r="F19" s="14"/>
      <c r="G19" s="19"/>
      <c r="H19" s="69"/>
      <c r="I19" s="49">
        <f t="shared" si="0"/>
        <v>175083003</v>
      </c>
      <c r="J19" s="20"/>
    </row>
    <row r="20" spans="1:10" s="21" customFormat="1" ht="93" customHeight="1" x14ac:dyDescent="0.35">
      <c r="A20" s="4"/>
      <c r="B20" s="47"/>
      <c r="C20" s="14"/>
      <c r="D20" s="17"/>
      <c r="E20" s="18"/>
      <c r="F20" s="14"/>
      <c r="G20" s="19"/>
      <c r="H20" s="69"/>
      <c r="I20" s="49">
        <f t="shared" si="0"/>
        <v>175083003</v>
      </c>
      <c r="J20" s="20"/>
    </row>
    <row r="21" spans="1:10" s="21" customFormat="1" ht="61.5" customHeight="1" x14ac:dyDescent="0.35">
      <c r="A21" s="4"/>
      <c r="B21" s="47"/>
      <c r="C21" s="29"/>
      <c r="D21" s="17"/>
      <c r="E21" s="18"/>
      <c r="F21" s="14"/>
      <c r="G21" s="19"/>
      <c r="H21" s="69"/>
      <c r="I21" s="49">
        <f t="shared" si="0"/>
        <v>175083003</v>
      </c>
      <c r="J21" s="20"/>
    </row>
    <row r="22" spans="1:10" s="21" customFormat="1" ht="85.5" customHeight="1" x14ac:dyDescent="0.35">
      <c r="A22" s="4"/>
      <c r="B22" s="47"/>
      <c r="C22" s="29"/>
      <c r="D22" s="17"/>
      <c r="E22" s="18"/>
      <c r="F22" s="14"/>
      <c r="G22" s="48"/>
      <c r="H22" s="70"/>
      <c r="I22" s="49">
        <f t="shared" si="0"/>
        <v>175083003</v>
      </c>
      <c r="J22" s="20"/>
    </row>
    <row r="23" spans="1:10" s="21" customFormat="1" ht="53.1" customHeight="1" x14ac:dyDescent="0.35">
      <c r="A23" s="4"/>
      <c r="B23" s="47"/>
      <c r="C23" s="29"/>
      <c r="D23" s="17"/>
      <c r="E23" s="18"/>
      <c r="F23" s="14"/>
      <c r="G23" s="19"/>
      <c r="H23" s="69"/>
      <c r="I23" s="49">
        <f t="shared" si="0"/>
        <v>175083003</v>
      </c>
      <c r="J23" s="20"/>
    </row>
    <row r="24" spans="1:10" s="21" customFormat="1" ht="60" customHeight="1" x14ac:dyDescent="0.35">
      <c r="A24" s="4"/>
      <c r="B24" s="47"/>
      <c r="C24" s="29"/>
      <c r="D24" s="17"/>
      <c r="E24" s="18"/>
      <c r="F24" s="14"/>
      <c r="G24" s="19"/>
      <c r="H24" s="69"/>
      <c r="I24" s="49">
        <f t="shared" si="0"/>
        <v>175083003</v>
      </c>
      <c r="J24" s="20"/>
    </row>
    <row r="25" spans="1:10" s="21" customFormat="1" ht="66.75" customHeight="1" x14ac:dyDescent="0.35">
      <c r="A25" s="4"/>
      <c r="B25" s="47"/>
      <c r="C25" s="14"/>
      <c r="D25" s="17"/>
      <c r="E25" s="18"/>
      <c r="F25" s="14"/>
      <c r="G25" s="19"/>
      <c r="H25" s="69"/>
      <c r="I25" s="49">
        <f t="shared" si="0"/>
        <v>175083003</v>
      </c>
      <c r="J25" s="20"/>
    </row>
    <row r="26" spans="1:10" s="21" customFormat="1" ht="49.5" customHeight="1" x14ac:dyDescent="0.35">
      <c r="A26" s="4"/>
      <c r="B26" s="47"/>
      <c r="C26" s="29"/>
      <c r="D26" s="17"/>
      <c r="E26" s="51"/>
      <c r="F26" s="52"/>
      <c r="G26" s="48"/>
      <c r="H26" s="70"/>
      <c r="I26" s="49">
        <f t="shared" si="0"/>
        <v>175083003</v>
      </c>
      <c r="J26" s="50"/>
    </row>
    <row r="27" spans="1:10" s="21" customFormat="1" ht="49.5" customHeight="1" x14ac:dyDescent="0.35">
      <c r="A27" s="4"/>
      <c r="B27" s="47"/>
      <c r="C27" s="29"/>
      <c r="D27" s="17"/>
      <c r="E27" s="51"/>
      <c r="F27" s="52"/>
      <c r="G27" s="48"/>
      <c r="H27" s="70"/>
      <c r="I27" s="49">
        <f t="shared" si="0"/>
        <v>175083003</v>
      </c>
      <c r="J27" s="50"/>
    </row>
    <row r="28" spans="1:10" s="21" customFormat="1" ht="49.5" customHeight="1" x14ac:dyDescent="0.35">
      <c r="A28" s="4"/>
      <c r="B28" s="47"/>
      <c r="C28" s="71"/>
      <c r="D28" s="17"/>
      <c r="E28" s="51"/>
      <c r="F28" s="52"/>
      <c r="G28" s="48"/>
      <c r="H28" s="70"/>
      <c r="I28" s="49">
        <f t="shared" si="0"/>
        <v>175083003</v>
      </c>
      <c r="J28" s="50"/>
    </row>
    <row r="29" spans="1:10" s="21" customFormat="1" ht="96" customHeight="1" x14ac:dyDescent="0.35">
      <c r="A29" s="4"/>
      <c r="B29" s="47"/>
      <c r="C29" s="71"/>
      <c r="D29" s="17"/>
      <c r="E29" s="51"/>
      <c r="F29" s="52"/>
      <c r="G29" s="48"/>
      <c r="H29" s="70"/>
      <c r="I29" s="49">
        <f t="shared" si="0"/>
        <v>175083003</v>
      </c>
      <c r="J29" s="50"/>
    </row>
    <row r="30" spans="1:10" ht="56.25" customHeight="1" x14ac:dyDescent="0.35">
      <c r="A30" s="53"/>
      <c r="B30" s="73"/>
      <c r="C30" s="29"/>
      <c r="D30" s="17"/>
      <c r="E30" s="18"/>
      <c r="F30" s="14"/>
      <c r="G30" s="72"/>
      <c r="H30" s="70"/>
      <c r="I30" s="49">
        <f t="shared" si="0"/>
        <v>175083003</v>
      </c>
    </row>
    <row r="31" spans="1:10" ht="56.25" customHeight="1" x14ac:dyDescent="0.35">
      <c r="A31" s="53"/>
      <c r="B31" s="73"/>
      <c r="C31" s="29"/>
      <c r="D31" s="17"/>
      <c r="E31" s="18"/>
      <c r="F31" s="14"/>
      <c r="G31" s="72"/>
      <c r="H31" s="70"/>
      <c r="I31" s="49">
        <f t="shared" ref="I31" si="1">I30+G31-H31</f>
        <v>175083003</v>
      </c>
    </row>
    <row r="32" spans="1:10" s="3" customFormat="1" ht="33.75" customHeight="1" x14ac:dyDescent="0.35">
      <c r="A32" s="23"/>
      <c r="B32" s="24"/>
      <c r="C32" s="27"/>
      <c r="D32" s="15"/>
      <c r="E32" s="2"/>
      <c r="F32" s="16"/>
      <c r="G32" s="25"/>
      <c r="H32" s="26">
        <f>SUM(H11:H31)</f>
        <v>4272500</v>
      </c>
      <c r="I32" s="22">
        <f>I31</f>
        <v>175083003</v>
      </c>
      <c r="J32" s="1"/>
    </row>
    <row r="33" spans="3:9" ht="32.1" customHeight="1" x14ac:dyDescent="0.35">
      <c r="C33" s="54"/>
      <c r="D33" s="55"/>
      <c r="E33" s="56"/>
      <c r="F33" s="57"/>
    </row>
    <row r="34" spans="3:9" ht="32.1" customHeight="1" x14ac:dyDescent="0.35">
      <c r="C34" s="58" t="s">
        <v>45</v>
      </c>
      <c r="D34" s="59"/>
      <c r="E34" s="60" t="s">
        <v>43</v>
      </c>
      <c r="F34" s="58"/>
      <c r="H34" s="61"/>
    </row>
    <row r="35" spans="3:9" ht="45.95" customHeight="1" x14ac:dyDescent="0.35">
      <c r="C35" s="58"/>
      <c r="D35" s="59"/>
      <c r="E35" s="62" t="s">
        <v>44</v>
      </c>
      <c r="F35" s="63"/>
    </row>
    <row r="36" spans="3:9" x14ac:dyDescent="0.35">
      <c r="C36" s="58"/>
      <c r="D36" s="59"/>
      <c r="E36" s="62"/>
      <c r="F36" s="63"/>
      <c r="I36" s="64"/>
    </row>
    <row r="37" spans="3:9" ht="32.1" customHeight="1" x14ac:dyDescent="0.35">
      <c r="C37" s="58" t="s">
        <v>46</v>
      </c>
      <c r="D37" s="59"/>
      <c r="E37" s="60" t="s">
        <v>43</v>
      </c>
      <c r="F37" s="58"/>
      <c r="I37" s="64"/>
    </row>
    <row r="38" spans="3:9" ht="38.1" customHeight="1" x14ac:dyDescent="0.35">
      <c r="C38" s="58"/>
      <c r="D38" s="59"/>
      <c r="E38" s="62" t="s">
        <v>44</v>
      </c>
      <c r="F38" s="58"/>
      <c r="I38" s="64"/>
    </row>
    <row r="39" spans="3:9" x14ac:dyDescent="0.35">
      <c r="C39" s="58"/>
      <c r="D39" s="59"/>
      <c r="E39" s="62"/>
      <c r="F39" s="65"/>
    </row>
    <row r="40" spans="3:9" x14ac:dyDescent="0.35">
      <c r="C40" s="58" t="s">
        <v>47</v>
      </c>
      <c r="D40" s="59"/>
      <c r="E40" s="60" t="s">
        <v>43</v>
      </c>
      <c r="F40" s="58"/>
      <c r="G40" s="64"/>
    </row>
    <row r="41" spans="3:9" ht="42.95" customHeight="1" x14ac:dyDescent="0.35">
      <c r="C41" s="58"/>
      <c r="D41" s="66"/>
      <c r="E41" s="62" t="s">
        <v>44</v>
      </c>
      <c r="F41" s="65"/>
    </row>
    <row r="44" spans="3:9" x14ac:dyDescent="0.35">
      <c r="I44" s="67"/>
    </row>
    <row r="45" spans="3:9" x14ac:dyDescent="0.35">
      <c r="I45" s="68"/>
    </row>
  </sheetData>
  <mergeCells count="3">
    <mergeCell ref="B4:I4"/>
    <mergeCell ref="B5:I5"/>
    <mergeCell ref="A7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4C1B1-A580-4B79-B713-2A9DFBC9BDDC}">
  <dimension ref="A2:G58"/>
  <sheetViews>
    <sheetView topLeftCell="A49" workbookViewId="0">
      <selection activeCell="E51" sqref="E51"/>
    </sheetView>
  </sheetViews>
  <sheetFormatPr defaultColWidth="9.140625" defaultRowHeight="15" x14ac:dyDescent="0.2"/>
  <cols>
    <col min="1" max="1" width="37.140625" style="82" customWidth="1"/>
    <col min="2" max="2" width="19.5703125" style="82" customWidth="1"/>
    <col min="3" max="3" width="39.7109375" style="82" customWidth="1"/>
    <col min="4" max="4" width="14.28515625" style="82" bestFit="1" customWidth="1"/>
    <col min="5" max="6" width="15.5703125" style="82" bestFit="1" customWidth="1"/>
    <col min="7" max="7" width="11" style="82" bestFit="1" customWidth="1"/>
    <col min="8" max="16384" width="9.140625" style="82"/>
  </cols>
  <sheetData>
    <row r="2" spans="1:7" ht="15.75" x14ac:dyDescent="0.25">
      <c r="A2" s="79" t="s">
        <v>58</v>
      </c>
      <c r="B2" s="80"/>
      <c r="C2" s="80"/>
      <c r="D2" s="81"/>
      <c r="E2" s="81"/>
    </row>
    <row r="3" spans="1:7" x14ac:dyDescent="0.2">
      <c r="A3" s="83" t="s">
        <v>66</v>
      </c>
      <c r="C3" s="84"/>
      <c r="D3" s="81"/>
      <c r="E3" s="81"/>
    </row>
    <row r="4" spans="1:7" x14ac:dyDescent="0.2">
      <c r="A4" s="85"/>
      <c r="D4" s="81"/>
      <c r="E4" s="81"/>
    </row>
    <row r="5" spans="1:7" x14ac:dyDescent="0.2">
      <c r="A5" s="86"/>
      <c r="B5" s="87"/>
      <c r="C5" s="87"/>
      <c r="D5" s="88"/>
      <c r="E5" s="88"/>
    </row>
    <row r="6" spans="1:7" x14ac:dyDescent="0.2">
      <c r="A6" s="86"/>
      <c r="B6" s="89"/>
      <c r="C6" s="89"/>
      <c r="D6" s="88"/>
      <c r="E6" s="88"/>
    </row>
    <row r="7" spans="1:7" ht="15.75" x14ac:dyDescent="0.25">
      <c r="A7" s="86" t="s">
        <v>4</v>
      </c>
      <c r="B7" s="89"/>
      <c r="C7" s="89"/>
      <c r="D7" s="88"/>
      <c r="E7" s="90">
        <v>0</v>
      </c>
      <c r="G7" s="81"/>
    </row>
    <row r="8" spans="1:7" ht="30" x14ac:dyDescent="0.2">
      <c r="A8" s="86" t="s">
        <v>59</v>
      </c>
      <c r="B8" s="89"/>
      <c r="C8" s="89"/>
      <c r="D8" s="88"/>
      <c r="E8" s="88"/>
    </row>
    <row r="9" spans="1:7" x14ac:dyDescent="0.2">
      <c r="A9" s="86" t="s">
        <v>9</v>
      </c>
      <c r="B9" s="89"/>
      <c r="C9" s="89"/>
      <c r="D9" s="88"/>
      <c r="E9" s="88"/>
    </row>
    <row r="10" spans="1:7" x14ac:dyDescent="0.2">
      <c r="A10" s="86" t="s">
        <v>0</v>
      </c>
      <c r="B10" s="89" t="s">
        <v>60</v>
      </c>
      <c r="C10" s="89" t="s">
        <v>10</v>
      </c>
      <c r="D10" s="88" t="s">
        <v>11</v>
      </c>
      <c r="E10" s="88"/>
    </row>
    <row r="11" spans="1:7" ht="36.75" customHeight="1" x14ac:dyDescent="0.2">
      <c r="A11" s="91"/>
      <c r="B11" s="89"/>
      <c r="C11" s="92"/>
      <c r="D11" s="93"/>
      <c r="E11" s="88"/>
    </row>
    <row r="12" spans="1:7" ht="30" customHeight="1" x14ac:dyDescent="0.2">
      <c r="A12" s="91"/>
      <c r="B12" s="89"/>
      <c r="C12" s="92"/>
      <c r="D12" s="94"/>
      <c r="E12" s="88"/>
    </row>
    <row r="13" spans="1:7" x14ac:dyDescent="0.2">
      <c r="A13" s="91"/>
      <c r="B13" s="89"/>
      <c r="C13" s="92"/>
      <c r="D13" s="95"/>
      <c r="E13" s="88"/>
    </row>
    <row r="14" spans="1:7" x14ac:dyDescent="0.2">
      <c r="A14" s="91"/>
      <c r="B14" s="89"/>
      <c r="C14" s="92"/>
      <c r="D14" s="93"/>
      <c r="E14" s="88"/>
    </row>
    <row r="15" spans="1:7" x14ac:dyDescent="0.2">
      <c r="A15" s="91"/>
      <c r="B15" s="89"/>
      <c r="C15" s="92"/>
      <c r="D15" s="93"/>
      <c r="E15" s="88"/>
    </row>
    <row r="16" spans="1:7" x14ac:dyDescent="0.2">
      <c r="A16" s="91"/>
      <c r="B16" s="89"/>
      <c r="C16" s="92"/>
      <c r="D16" s="94"/>
      <c r="E16" s="88"/>
    </row>
    <row r="17" spans="1:5" x14ac:dyDescent="0.2">
      <c r="A17" s="91"/>
      <c r="B17" s="89"/>
      <c r="C17" s="92"/>
      <c r="D17" s="94"/>
      <c r="E17" s="88"/>
    </row>
    <row r="18" spans="1:5" x14ac:dyDescent="0.2">
      <c r="A18" s="91"/>
      <c r="B18" s="89"/>
      <c r="C18" s="92"/>
      <c r="D18" s="94"/>
      <c r="E18" s="88"/>
    </row>
    <row r="19" spans="1:5" x14ac:dyDescent="0.2">
      <c r="A19" s="91"/>
      <c r="B19" s="89"/>
      <c r="C19" s="92"/>
      <c r="D19" s="94"/>
      <c r="E19" s="88"/>
    </row>
    <row r="20" spans="1:5" x14ac:dyDescent="0.2">
      <c r="A20" s="91"/>
      <c r="B20" s="89"/>
      <c r="C20" s="92"/>
      <c r="D20" s="94"/>
      <c r="E20" s="88"/>
    </row>
    <row r="21" spans="1:5" x14ac:dyDescent="0.2">
      <c r="A21" s="91"/>
      <c r="B21" s="89"/>
      <c r="C21" s="92"/>
      <c r="D21" s="94"/>
      <c r="E21" s="88"/>
    </row>
    <row r="22" spans="1:5" ht="16.5" x14ac:dyDescent="0.25">
      <c r="A22" s="91"/>
      <c r="B22" s="89"/>
      <c r="C22" s="96"/>
      <c r="D22" s="94"/>
      <c r="E22" s="88"/>
    </row>
    <row r="23" spans="1:5" x14ac:dyDescent="0.2">
      <c r="A23" s="91"/>
      <c r="B23" s="89"/>
      <c r="C23" s="92"/>
      <c r="D23" s="95">
        <v>0</v>
      </c>
      <c r="E23" s="88"/>
    </row>
    <row r="24" spans="1:5" ht="15.75" x14ac:dyDescent="0.25">
      <c r="A24" s="86" t="s">
        <v>61</v>
      </c>
      <c r="B24" s="89"/>
      <c r="C24" s="89"/>
      <c r="D24" s="88"/>
      <c r="E24" s="90">
        <f>SUM(D11:D23)</f>
        <v>0</v>
      </c>
    </row>
    <row r="25" spans="1:5" x14ac:dyDescent="0.2">
      <c r="A25" s="86"/>
      <c r="B25" s="89"/>
      <c r="C25" s="89"/>
      <c r="D25" s="88"/>
      <c r="E25" s="88"/>
    </row>
    <row r="26" spans="1:5" ht="30" x14ac:dyDescent="0.2">
      <c r="A26" s="86" t="s">
        <v>62</v>
      </c>
      <c r="B26" s="89"/>
      <c r="C26" s="89"/>
      <c r="D26" s="88"/>
      <c r="E26" s="88"/>
    </row>
    <row r="27" spans="1:5" ht="30" x14ac:dyDescent="0.2">
      <c r="A27" s="86" t="s">
        <v>5</v>
      </c>
      <c r="B27" s="89"/>
      <c r="C27" s="89"/>
      <c r="D27" s="88"/>
      <c r="E27" s="88"/>
    </row>
    <row r="28" spans="1:5" x14ac:dyDescent="0.2">
      <c r="A28" s="86" t="s">
        <v>0</v>
      </c>
      <c r="B28" s="89" t="s">
        <v>63</v>
      </c>
      <c r="C28" s="89" t="s">
        <v>10</v>
      </c>
      <c r="D28" s="88" t="s">
        <v>11</v>
      </c>
      <c r="E28" s="88"/>
    </row>
    <row r="29" spans="1:5" x14ac:dyDescent="0.2">
      <c r="A29" s="86"/>
      <c r="B29" s="89"/>
      <c r="C29" s="89"/>
      <c r="D29" s="88"/>
      <c r="E29" s="88"/>
    </row>
    <row r="30" spans="1:5" x14ac:dyDescent="0.2">
      <c r="A30" s="86" t="s">
        <v>64</v>
      </c>
      <c r="B30" s="89"/>
      <c r="C30" s="89"/>
      <c r="D30" s="88"/>
      <c r="E30" s="88">
        <v>0</v>
      </c>
    </row>
    <row r="31" spans="1:5" ht="30" x14ac:dyDescent="0.2">
      <c r="A31" s="86" t="s">
        <v>65</v>
      </c>
      <c r="B31" s="89"/>
      <c r="C31" s="89"/>
      <c r="D31" s="88"/>
      <c r="E31" s="88"/>
    </row>
    <row r="32" spans="1:5" ht="30" x14ac:dyDescent="0.2">
      <c r="A32" s="86" t="s">
        <v>12</v>
      </c>
      <c r="B32" s="89"/>
      <c r="C32" s="89"/>
      <c r="D32" s="88"/>
      <c r="E32" s="88"/>
    </row>
    <row r="33" spans="1:5" x14ac:dyDescent="0.2">
      <c r="A33" s="86" t="s">
        <v>0</v>
      </c>
      <c r="B33" s="89" t="s">
        <v>63</v>
      </c>
      <c r="C33" s="89" t="s">
        <v>10</v>
      </c>
      <c r="D33" s="88" t="s">
        <v>11</v>
      </c>
      <c r="E33" s="88"/>
    </row>
    <row r="34" spans="1:5" x14ac:dyDescent="0.2">
      <c r="A34" s="97"/>
      <c r="B34" s="92"/>
      <c r="C34" s="89"/>
      <c r="D34" s="88"/>
      <c r="E34" s="88"/>
    </row>
    <row r="35" spans="1:5" x14ac:dyDescent="0.2">
      <c r="A35" s="97"/>
      <c r="B35" s="92"/>
      <c r="C35" s="89"/>
      <c r="D35" s="88"/>
      <c r="E35" s="88"/>
    </row>
    <row r="36" spans="1:5" x14ac:dyDescent="0.2">
      <c r="A36" s="97"/>
      <c r="B36" s="92"/>
      <c r="C36" s="89"/>
      <c r="D36" s="88"/>
      <c r="E36" s="88"/>
    </row>
    <row r="37" spans="1:5" x14ac:dyDescent="0.2">
      <c r="A37" s="97"/>
      <c r="B37" s="92"/>
      <c r="C37" s="89"/>
      <c r="D37" s="88"/>
      <c r="E37" s="88"/>
    </row>
    <row r="38" spans="1:5" x14ac:dyDescent="0.2">
      <c r="A38" s="97"/>
      <c r="B38" s="98"/>
      <c r="C38" s="99"/>
      <c r="D38" s="88"/>
      <c r="E38" s="88"/>
    </row>
    <row r="39" spans="1:5" x14ac:dyDescent="0.2">
      <c r="A39" s="97"/>
      <c r="B39" s="98"/>
      <c r="C39" s="99"/>
      <c r="D39" s="88"/>
      <c r="E39" s="88"/>
    </row>
    <row r="40" spans="1:5" x14ac:dyDescent="0.2">
      <c r="A40" s="97"/>
      <c r="B40" s="97"/>
      <c r="C40" s="99"/>
      <c r="D40" s="88"/>
      <c r="E40" s="88"/>
    </row>
    <row r="41" spans="1:5" ht="15.75" x14ac:dyDescent="0.25">
      <c r="A41" s="86" t="s">
        <v>6</v>
      </c>
      <c r="B41" s="89"/>
      <c r="C41" s="89"/>
      <c r="D41" s="88"/>
      <c r="E41" s="90">
        <f>SUM(D34:D41)</f>
        <v>0</v>
      </c>
    </row>
    <row r="42" spans="1:5" ht="15.75" x14ac:dyDescent="0.25">
      <c r="A42" s="86"/>
      <c r="B42" s="89"/>
      <c r="C42" s="89"/>
      <c r="D42" s="88"/>
      <c r="E42" s="90"/>
    </row>
    <row r="43" spans="1:5" ht="15.75" x14ac:dyDescent="0.25">
      <c r="A43" s="86"/>
      <c r="B43" s="89"/>
      <c r="C43" s="89"/>
      <c r="D43" s="88"/>
      <c r="E43" s="90"/>
    </row>
    <row r="44" spans="1:5" x14ac:dyDescent="0.2">
      <c r="A44" s="86"/>
      <c r="B44" s="89"/>
      <c r="C44" s="89"/>
      <c r="D44" s="88"/>
      <c r="E44" s="88"/>
    </row>
    <row r="45" spans="1:5" ht="30" x14ac:dyDescent="0.2">
      <c r="A45" s="86" t="s">
        <v>13</v>
      </c>
      <c r="B45" s="89"/>
      <c r="C45" s="89"/>
      <c r="D45" s="88"/>
      <c r="E45" s="88"/>
    </row>
    <row r="46" spans="1:5" x14ac:dyDescent="0.2">
      <c r="A46" s="86" t="s">
        <v>14</v>
      </c>
      <c r="B46" s="89"/>
      <c r="C46" s="89"/>
      <c r="D46" s="88"/>
      <c r="E46" s="88"/>
    </row>
    <row r="47" spans="1:5" x14ac:dyDescent="0.2">
      <c r="A47" s="86" t="s">
        <v>0</v>
      </c>
      <c r="B47" s="89" t="s">
        <v>63</v>
      </c>
      <c r="C47" s="89" t="s">
        <v>10</v>
      </c>
      <c r="D47" s="88" t="s">
        <v>11</v>
      </c>
      <c r="E47" s="88"/>
    </row>
    <row r="48" spans="1:5" x14ac:dyDescent="0.2">
      <c r="A48" s="86"/>
      <c r="B48" s="92"/>
      <c r="C48" s="89"/>
      <c r="D48" s="88"/>
      <c r="E48" s="88"/>
    </row>
    <row r="49" spans="1:6" x14ac:dyDescent="0.2">
      <c r="A49" s="86"/>
      <c r="B49" s="92"/>
      <c r="C49" s="89"/>
      <c r="D49" s="88"/>
      <c r="E49" s="89"/>
    </row>
    <row r="50" spans="1:6" x14ac:dyDescent="0.2">
      <c r="A50" s="86" t="s">
        <v>7</v>
      </c>
      <c r="B50" s="89"/>
      <c r="C50" s="89"/>
      <c r="D50" s="88"/>
      <c r="E50" s="88">
        <f>SUM(D48:D49)</f>
        <v>0</v>
      </c>
    </row>
    <row r="51" spans="1:6" x14ac:dyDescent="0.2">
      <c r="A51" s="86"/>
      <c r="B51" s="89"/>
      <c r="C51" s="89"/>
      <c r="D51" s="88"/>
      <c r="E51" s="88"/>
    </row>
    <row r="52" spans="1:6" ht="31.5" x14ac:dyDescent="0.25">
      <c r="A52" s="100" t="s">
        <v>15</v>
      </c>
      <c r="B52" s="101"/>
      <c r="C52" s="101"/>
      <c r="D52" s="90"/>
      <c r="E52" s="90">
        <f>E7-E24</f>
        <v>0</v>
      </c>
      <c r="F52" s="81"/>
    </row>
    <row r="53" spans="1:6" ht="15.75" x14ac:dyDescent="0.25">
      <c r="A53" s="102"/>
      <c r="B53" s="80"/>
      <c r="C53" s="80"/>
      <c r="D53" s="103"/>
      <c r="E53" s="103"/>
      <c r="F53" s="81"/>
    </row>
    <row r="54" spans="1:6" ht="15.75" x14ac:dyDescent="0.25">
      <c r="A54" s="102" t="s">
        <v>67</v>
      </c>
      <c r="B54" s="80"/>
      <c r="C54" s="102" t="s">
        <v>69</v>
      </c>
    </row>
    <row r="55" spans="1:6" ht="15.75" x14ac:dyDescent="0.25">
      <c r="A55" s="102"/>
      <c r="B55" s="80"/>
      <c r="C55" s="102"/>
    </row>
    <row r="56" spans="1:6" ht="15.75" x14ac:dyDescent="0.25">
      <c r="A56" s="102" t="s">
        <v>8</v>
      </c>
      <c r="B56" s="80"/>
      <c r="C56" s="102" t="s">
        <v>8</v>
      </c>
    </row>
    <row r="57" spans="1:6" ht="15.75" x14ac:dyDescent="0.25">
      <c r="A57" s="102"/>
      <c r="B57" s="80"/>
      <c r="C57" s="102"/>
    </row>
    <row r="58" spans="1:6" ht="15.75" x14ac:dyDescent="0.25">
      <c r="A58" s="102" t="s">
        <v>68</v>
      </c>
      <c r="B58" s="80"/>
      <c r="C58" s="102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E5:E30"/>
  <sheetViews>
    <sheetView topLeftCell="A9" workbookViewId="0">
      <selection activeCell="G10" sqref="G10"/>
    </sheetView>
  </sheetViews>
  <sheetFormatPr defaultRowHeight="15" x14ac:dyDescent="0.25"/>
  <sheetData>
    <row r="5" spans="5:5" x14ac:dyDescent="0.25">
      <c r="E5" t="s">
        <v>17</v>
      </c>
    </row>
    <row r="6" spans="5:5" x14ac:dyDescent="0.25">
      <c r="E6" t="s">
        <v>18</v>
      </c>
    </row>
    <row r="7" spans="5:5" x14ac:dyDescent="0.25">
      <c r="E7" t="s">
        <v>19</v>
      </c>
    </row>
    <row r="8" spans="5:5" x14ac:dyDescent="0.25">
      <c r="E8" t="s">
        <v>20</v>
      </c>
    </row>
    <row r="9" spans="5:5" x14ac:dyDescent="0.25">
      <c r="E9" t="s">
        <v>21</v>
      </c>
    </row>
    <row r="10" spans="5:5" x14ac:dyDescent="0.25">
      <c r="E10" t="s">
        <v>22</v>
      </c>
    </row>
    <row r="11" spans="5:5" x14ac:dyDescent="0.25">
      <c r="E11" t="s">
        <v>23</v>
      </c>
    </row>
    <row r="12" spans="5:5" x14ac:dyDescent="0.25">
      <c r="E12" t="s">
        <v>24</v>
      </c>
    </row>
    <row r="13" spans="5:5" x14ac:dyDescent="0.25">
      <c r="E13" t="s">
        <v>25</v>
      </c>
    </row>
    <row r="14" spans="5:5" x14ac:dyDescent="0.25">
      <c r="E14" t="s">
        <v>26</v>
      </c>
    </row>
    <row r="15" spans="5:5" x14ac:dyDescent="0.25">
      <c r="E15" t="s">
        <v>27</v>
      </c>
    </row>
    <row r="16" spans="5:5" x14ac:dyDescent="0.25">
      <c r="E16" t="s">
        <v>28</v>
      </c>
    </row>
    <row r="17" spans="5:5" x14ac:dyDescent="0.25">
      <c r="E17" t="s">
        <v>29</v>
      </c>
    </row>
    <row r="18" spans="5:5" x14ac:dyDescent="0.25">
      <c r="E18" t="s">
        <v>30</v>
      </c>
    </row>
    <row r="19" spans="5:5" x14ac:dyDescent="0.25">
      <c r="E19" t="s">
        <v>31</v>
      </c>
    </row>
    <row r="20" spans="5:5" x14ac:dyDescent="0.25">
      <c r="E20" t="s">
        <v>32</v>
      </c>
    </row>
    <row r="21" spans="5:5" x14ac:dyDescent="0.25">
      <c r="E21" t="s">
        <v>33</v>
      </c>
    </row>
    <row r="22" spans="5:5" x14ac:dyDescent="0.25">
      <c r="E22" t="s">
        <v>34</v>
      </c>
    </row>
    <row r="23" spans="5:5" x14ac:dyDescent="0.25">
      <c r="E23" t="s">
        <v>35</v>
      </c>
    </row>
    <row r="24" spans="5:5" x14ac:dyDescent="0.25">
      <c r="E24" t="s">
        <v>36</v>
      </c>
    </row>
    <row r="25" spans="5:5" x14ac:dyDescent="0.25">
      <c r="E25" t="s">
        <v>37</v>
      </c>
    </row>
    <row r="26" spans="5:5" x14ac:dyDescent="0.25">
      <c r="E26" t="s">
        <v>38</v>
      </c>
    </row>
    <row r="27" spans="5:5" x14ac:dyDescent="0.25">
      <c r="E27" t="s">
        <v>39</v>
      </c>
    </row>
    <row r="28" spans="5:5" x14ac:dyDescent="0.25">
      <c r="E28" t="s">
        <v>40</v>
      </c>
    </row>
    <row r="29" spans="5:5" x14ac:dyDescent="0.25">
      <c r="E29" t="s">
        <v>41</v>
      </c>
    </row>
    <row r="30" spans="5:5" x14ac:dyDescent="0.25">
      <c r="E30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Cash book </vt:lpstr>
      <vt:lpstr>Bank reconciliation</vt:lpstr>
      <vt:lpstr>Sheet1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EMESU</dc:creator>
  <cp:lastModifiedBy>Godfrey Ovuru</cp:lastModifiedBy>
  <cp:lastPrinted>2025-03-19T09:13:12Z</cp:lastPrinted>
  <dcterms:created xsi:type="dcterms:W3CDTF">2011-09-16T12:56:15Z</dcterms:created>
  <dcterms:modified xsi:type="dcterms:W3CDTF">2026-09-15T08:52:27Z</dcterms:modified>
</cp:coreProperties>
</file>